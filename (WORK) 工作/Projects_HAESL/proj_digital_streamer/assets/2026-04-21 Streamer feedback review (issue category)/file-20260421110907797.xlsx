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k-chris.chan\Documents\GitHub\Obsidian_2nd_brain\(WORK) 工作\Projects_HAESL\proj_digital_streamer\assets\2026-04-21 Streamer feedback review (issue category)\"/>
    </mc:Choice>
  </mc:AlternateContent>
  <xr:revisionPtr revIDLastSave="0" documentId="13_ncr:1_{0C7D0E72-D173-4ED1-A64A-55092FF00D08}" xr6:coauthVersionLast="47" xr6:coauthVersionMax="47" xr10:uidLastSave="{00000000-0000-0000-0000-000000000000}"/>
  <bookViews>
    <workbookView xWindow="-98" yWindow="-98" windowWidth="21795" windowHeight="12975" activeTab="3" xr2:uid="{576FD22E-F0EC-42CA-9339-4ABADA5B6AB9}"/>
  </bookViews>
  <sheets>
    <sheet name="raw" sheetId="1" r:id="rId1"/>
    <sheet name="classifications" sheetId="2" r:id="rId2"/>
    <sheet name="calc" sheetId="5" r:id="rId3"/>
    <sheet name="wiki" sheetId="3" r:id="rId4"/>
  </sheets>
  <definedNames>
    <definedName name="_xlnm._FilterDatabase" localSheetId="0" hidden="1">raw!$A$1:$Q$236</definedName>
    <definedName name="_xlnm._FilterDatabase" localSheetId="3" hidden="1">wiki!$A$1:$T$148</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14" i="5" l="1"/>
  <c r="B2" i="3"/>
  <c r="C2" i="3"/>
  <c r="F2" i="3"/>
  <c r="M2" i="3"/>
  <c r="O2" i="3"/>
  <c r="R2" i="3" a="1"/>
  <c r="R2" i="3"/>
  <c r="B3" i="3"/>
  <c r="C3" i="3"/>
  <c r="F3" i="3"/>
  <c r="M3" i="3"/>
  <c r="O3" i="3"/>
  <c r="R3" i="3" a="1"/>
  <c r="R3" i="3"/>
  <c r="B4" i="3"/>
  <c r="C4" i="3"/>
  <c r="F4" i="3"/>
  <c r="M4" i="3"/>
  <c r="O4" i="3"/>
  <c r="R4" i="3" a="1"/>
  <c r="B5" i="3"/>
  <c r="C5" i="3"/>
  <c r="F5" i="3"/>
  <c r="M5" i="3"/>
  <c r="O5" i="3"/>
  <c r="R5" i="3" a="1"/>
  <c r="B6" i="3"/>
  <c r="C6" i="3"/>
  <c r="F6" i="3"/>
  <c r="M6" i="3"/>
  <c r="O6" i="3"/>
  <c r="R6" i="3" a="1"/>
  <c r="B7" i="3"/>
  <c r="C7" i="3"/>
  <c r="F7" i="3"/>
  <c r="M7" i="3"/>
  <c r="O7" i="3"/>
  <c r="R7" i="3" a="1"/>
  <c r="B8" i="3"/>
  <c r="C8" i="3"/>
  <c r="F8" i="3"/>
  <c r="M8" i="3"/>
  <c r="O8" i="3"/>
  <c r="R8" i="3" a="1"/>
  <c r="B9" i="3"/>
  <c r="C9" i="3"/>
  <c r="F9" i="3"/>
  <c r="M9" i="3"/>
  <c r="O9" i="3"/>
  <c r="R9" i="3" a="1"/>
  <c r="B10" i="3"/>
  <c r="C10" i="3"/>
  <c r="F10" i="3"/>
  <c r="M10" i="3"/>
  <c r="O10" i="3"/>
  <c r="R10" i="3" a="1"/>
  <c r="B11" i="3"/>
  <c r="C11" i="3"/>
  <c r="F11" i="3"/>
  <c r="M11" i="3"/>
  <c r="O11" i="3"/>
  <c r="R11" i="3" a="1"/>
  <c r="B12" i="3"/>
  <c r="C12" i="3"/>
  <c r="F12" i="3"/>
  <c r="M12" i="3"/>
  <c r="O12" i="3"/>
  <c r="R12" i="3" a="1"/>
  <c r="B13" i="3"/>
  <c r="C13" i="3"/>
  <c r="F13" i="3"/>
  <c r="M13" i="3"/>
  <c r="O13" i="3"/>
  <c r="R13" i="3" a="1"/>
  <c r="B14" i="3"/>
  <c r="C14" i="3"/>
  <c r="F14" i="3"/>
  <c r="M14" i="3"/>
  <c r="O14" i="3"/>
  <c r="R14" i="3" a="1"/>
  <c r="B15" i="3"/>
  <c r="C15" i="3"/>
  <c r="F15" i="3"/>
  <c r="M15" i="3"/>
  <c r="O15" i="3"/>
  <c r="R15" i="3" a="1"/>
  <c r="B16" i="3"/>
  <c r="C16" i="3"/>
  <c r="F16" i="3"/>
  <c r="M16" i="3"/>
  <c r="O16" i="3"/>
  <c r="R16" i="3" a="1"/>
  <c r="B17" i="3"/>
  <c r="C17" i="3"/>
  <c r="F17" i="3"/>
  <c r="M17" i="3"/>
  <c r="O17" i="3"/>
  <c r="R17" i="3" a="1"/>
  <c r="B18" i="3"/>
  <c r="C18" i="3"/>
  <c r="F18" i="3"/>
  <c r="M18" i="3"/>
  <c r="O18" i="3"/>
  <c r="R18" i="3" a="1"/>
  <c r="B19" i="3"/>
  <c r="C19" i="3"/>
  <c r="F19" i="3"/>
  <c r="M19" i="3"/>
  <c r="O19" i="3"/>
  <c r="R19" i="3" a="1"/>
  <c r="B20" i="3"/>
  <c r="C20" i="3"/>
  <c r="F20" i="3"/>
  <c r="M20" i="3"/>
  <c r="O20" i="3"/>
  <c r="R20" i="3" a="1"/>
  <c r="B21" i="3"/>
  <c r="C21" i="3"/>
  <c r="F21" i="3"/>
  <c r="M21" i="3"/>
  <c r="O21" i="3"/>
  <c r="R21" i="3" a="1"/>
  <c r="B22" i="3"/>
  <c r="C22" i="3"/>
  <c r="F22" i="3"/>
  <c r="M22" i="3"/>
  <c r="O22" i="3"/>
  <c r="R22" i="3" a="1"/>
  <c r="B23" i="3"/>
  <c r="C23" i="3"/>
  <c r="F23" i="3"/>
  <c r="M23" i="3"/>
  <c r="O23" i="3"/>
  <c r="R23" i="3" a="1"/>
  <c r="B24" i="3"/>
  <c r="C24" i="3"/>
  <c r="F24" i="3"/>
  <c r="M24" i="3"/>
  <c r="O24" i="3"/>
  <c r="R24" i="3" a="1"/>
  <c r="B25" i="3"/>
  <c r="C25" i="3"/>
  <c r="F25" i="3"/>
  <c r="M25" i="3"/>
  <c r="O25" i="3"/>
  <c r="R25" i="3" a="1"/>
  <c r="B26" i="3"/>
  <c r="C26" i="3"/>
  <c r="F26" i="3"/>
  <c r="M26" i="3"/>
  <c r="O26" i="3"/>
  <c r="R26" i="3" a="1"/>
  <c r="B27" i="3"/>
  <c r="C27" i="3"/>
  <c r="F27" i="3"/>
  <c r="M27" i="3"/>
  <c r="O27" i="3"/>
  <c r="R27" i="3" a="1"/>
  <c r="B28" i="3"/>
  <c r="C28" i="3"/>
  <c r="F28" i="3"/>
  <c r="M28" i="3"/>
  <c r="O28" i="3"/>
  <c r="R28" i="3" a="1"/>
  <c r="B29" i="3"/>
  <c r="C29" i="3"/>
  <c r="F29" i="3"/>
  <c r="M29" i="3"/>
  <c r="O29" i="3"/>
  <c r="R29" i="3" a="1"/>
  <c r="B30" i="3"/>
  <c r="C30" i="3"/>
  <c r="F30" i="3"/>
  <c r="M30" i="3"/>
  <c r="O30" i="3"/>
  <c r="R30" i="3" a="1"/>
  <c r="B31" i="3"/>
  <c r="C31" i="3"/>
  <c r="F31" i="3"/>
  <c r="M31" i="3"/>
  <c r="O31" i="3"/>
  <c r="R31" i="3" a="1"/>
  <c r="B32" i="3"/>
  <c r="C32" i="3"/>
  <c r="F32" i="3"/>
  <c r="M32" i="3"/>
  <c r="O32" i="3"/>
  <c r="R32" i="3" a="1"/>
  <c r="B33" i="3"/>
  <c r="C33" i="3"/>
  <c r="F33" i="3"/>
  <c r="M33" i="3"/>
  <c r="O33" i="3"/>
  <c r="R33" i="3" a="1"/>
  <c r="B34" i="3"/>
  <c r="C34" i="3"/>
  <c r="F34" i="3"/>
  <c r="M34" i="3"/>
  <c r="O34" i="3"/>
  <c r="R34" i="3" a="1"/>
  <c r="B35" i="3"/>
  <c r="C35" i="3"/>
  <c r="F35" i="3"/>
  <c r="M35" i="3"/>
  <c r="O35" i="3"/>
  <c r="R35" i="3" a="1"/>
  <c r="B36" i="3"/>
  <c r="C36" i="3"/>
  <c r="F36" i="3"/>
  <c r="M36" i="3"/>
  <c r="O36" i="3"/>
  <c r="R36" i="3" a="1"/>
  <c r="B37" i="3"/>
  <c r="C37" i="3"/>
  <c r="F37" i="3"/>
  <c r="M37" i="3"/>
  <c r="O37" i="3"/>
  <c r="R37" i="3" a="1"/>
  <c r="B38" i="3"/>
  <c r="C38" i="3"/>
  <c r="F38" i="3"/>
  <c r="M38" i="3"/>
  <c r="O38" i="3"/>
  <c r="R38" i="3" a="1"/>
  <c r="B39" i="3"/>
  <c r="C39" i="3"/>
  <c r="F39" i="3"/>
  <c r="M39" i="3"/>
  <c r="O39" i="3"/>
  <c r="R39" i="3" a="1"/>
  <c r="B40" i="3"/>
  <c r="C40" i="3"/>
  <c r="F40" i="3"/>
  <c r="M40" i="3"/>
  <c r="O40" i="3"/>
  <c r="R40" i="3" a="1"/>
  <c r="B41" i="3"/>
  <c r="C41" i="3"/>
  <c r="F41" i="3"/>
  <c r="M41" i="3"/>
  <c r="O41" i="3"/>
  <c r="R41" i="3" a="1"/>
  <c r="B42" i="3"/>
  <c r="C42" i="3"/>
  <c r="F42" i="3"/>
  <c r="M42" i="3"/>
  <c r="O42" i="3"/>
  <c r="R42" i="3" a="1"/>
  <c r="B43" i="3"/>
  <c r="C43" i="3"/>
  <c r="F43" i="3"/>
  <c r="M43" i="3"/>
  <c r="O43" i="3"/>
  <c r="R43" i="3" a="1"/>
  <c r="B44" i="3"/>
  <c r="C44" i="3"/>
  <c r="F44" i="3"/>
  <c r="M44" i="3"/>
  <c r="O44" i="3"/>
  <c r="R44" i="3" a="1"/>
  <c r="B45" i="3"/>
  <c r="C45" i="3"/>
  <c r="F45" i="3"/>
  <c r="M45" i="3"/>
  <c r="O45" i="3"/>
  <c r="R45" i="3" a="1"/>
  <c r="B46" i="3"/>
  <c r="C46" i="3"/>
  <c r="F46" i="3"/>
  <c r="M46" i="3"/>
  <c r="O46" i="3"/>
  <c r="R46" i="3" a="1"/>
  <c r="B47" i="3"/>
  <c r="C47" i="3"/>
  <c r="F47" i="3"/>
  <c r="M47" i="3"/>
  <c r="O47" i="3"/>
  <c r="R47" i="3" a="1"/>
  <c r="B48" i="3"/>
  <c r="C48" i="3"/>
  <c r="F48" i="3"/>
  <c r="M48" i="3"/>
  <c r="O48" i="3"/>
  <c r="R48" i="3" a="1"/>
  <c r="B49" i="3"/>
  <c r="C49" i="3"/>
  <c r="F49" i="3"/>
  <c r="M49" i="3"/>
  <c r="O49" i="3"/>
  <c r="R49" i="3" a="1"/>
  <c r="B50" i="3"/>
  <c r="C50" i="3"/>
  <c r="F50" i="3"/>
  <c r="M50" i="3"/>
  <c r="O50" i="3"/>
  <c r="R50" i="3" a="1"/>
  <c r="B51" i="3"/>
  <c r="C51" i="3"/>
  <c r="F51" i="3"/>
  <c r="M51" i="3"/>
  <c r="O51" i="3"/>
  <c r="R51" i="3" a="1"/>
  <c r="B52" i="3"/>
  <c r="C52" i="3"/>
  <c r="F52" i="3"/>
  <c r="M52" i="3"/>
  <c r="O52" i="3"/>
  <c r="R52" i="3" a="1"/>
  <c r="B53" i="3"/>
  <c r="C53" i="3"/>
  <c r="F53" i="3"/>
  <c r="M53" i="3"/>
  <c r="O53" i="3"/>
  <c r="R53" i="3" a="1"/>
  <c r="B54" i="3"/>
  <c r="C54" i="3"/>
  <c r="F54" i="3"/>
  <c r="M54" i="3"/>
  <c r="O54" i="3"/>
  <c r="R54" i="3" a="1"/>
  <c r="B55" i="3"/>
  <c r="C55" i="3"/>
  <c r="F55" i="3"/>
  <c r="M55" i="3"/>
  <c r="O55" i="3"/>
  <c r="R55" i="3" a="1"/>
  <c r="B56" i="3"/>
  <c r="C56" i="3"/>
  <c r="F56" i="3"/>
  <c r="M56" i="3"/>
  <c r="O56" i="3"/>
  <c r="R56" i="3" a="1"/>
  <c r="B57" i="3"/>
  <c r="C57" i="3"/>
  <c r="F57" i="3"/>
  <c r="M57" i="3"/>
  <c r="O57" i="3"/>
  <c r="R57" i="3" a="1"/>
  <c r="B58" i="3"/>
  <c r="C58" i="3"/>
  <c r="F58" i="3"/>
  <c r="M58" i="3"/>
  <c r="O58" i="3"/>
  <c r="R58" i="3" a="1"/>
  <c r="B59" i="3"/>
  <c r="C59" i="3"/>
  <c r="F59" i="3"/>
  <c r="M59" i="3"/>
  <c r="O59" i="3"/>
  <c r="R59" i="3" a="1"/>
  <c r="B60" i="3"/>
  <c r="C60" i="3"/>
  <c r="F60" i="3"/>
  <c r="M60" i="3"/>
  <c r="O60" i="3"/>
  <c r="R60" i="3" a="1"/>
  <c r="B61" i="3"/>
  <c r="C61" i="3"/>
  <c r="F61" i="3"/>
  <c r="M61" i="3"/>
  <c r="O61" i="3"/>
  <c r="R61" i="3" a="1"/>
  <c r="B62" i="3"/>
  <c r="C62" i="3"/>
  <c r="F62" i="3"/>
  <c r="M62" i="3"/>
  <c r="O62" i="3"/>
  <c r="R62" i="3" a="1"/>
  <c r="B63" i="3"/>
  <c r="C63" i="3"/>
  <c r="F63" i="3"/>
  <c r="M63" i="3"/>
  <c r="O63" i="3"/>
  <c r="R63" i="3" a="1"/>
  <c r="B64" i="3"/>
  <c r="C64" i="3"/>
  <c r="F64" i="3"/>
  <c r="M64" i="3"/>
  <c r="O64" i="3"/>
  <c r="R64" i="3" a="1"/>
  <c r="B65" i="3"/>
  <c r="C65" i="3"/>
  <c r="F65" i="3"/>
  <c r="M65" i="3"/>
  <c r="O65" i="3"/>
  <c r="R65" i="3" a="1"/>
  <c r="B66" i="3"/>
  <c r="C66" i="3"/>
  <c r="F66" i="3"/>
  <c r="M66" i="3"/>
  <c r="O66" i="3"/>
  <c r="R66" i="3" a="1"/>
  <c r="B67" i="3"/>
  <c r="C67" i="3"/>
  <c r="F67" i="3"/>
  <c r="M67" i="3"/>
  <c r="O67" i="3"/>
  <c r="R67" i="3" a="1"/>
  <c r="B68" i="3"/>
  <c r="C68" i="3"/>
  <c r="F68" i="3"/>
  <c r="M68" i="3"/>
  <c r="O68" i="3"/>
  <c r="R68" i="3" a="1"/>
  <c r="B69" i="3"/>
  <c r="C69" i="3"/>
  <c r="F69" i="3"/>
  <c r="M69" i="3"/>
  <c r="O69" i="3"/>
  <c r="R69" i="3" a="1"/>
  <c r="B70" i="3"/>
  <c r="C70" i="3"/>
  <c r="F70" i="3"/>
  <c r="M70" i="3"/>
  <c r="O70" i="3"/>
  <c r="R70" i="3" a="1"/>
  <c r="B71" i="3"/>
  <c r="C71" i="3"/>
  <c r="F71" i="3"/>
  <c r="M71" i="3"/>
  <c r="O71" i="3"/>
  <c r="R71" i="3" a="1"/>
  <c r="B72" i="3"/>
  <c r="C72" i="3"/>
  <c r="F72" i="3"/>
  <c r="M72" i="3"/>
  <c r="O72" i="3"/>
  <c r="R72" i="3" a="1"/>
  <c r="B73" i="3"/>
  <c r="C73" i="3"/>
  <c r="F73" i="3"/>
  <c r="M73" i="3"/>
  <c r="O73" i="3"/>
  <c r="R73" i="3" a="1"/>
  <c r="B74" i="3"/>
  <c r="C74" i="3"/>
  <c r="F74" i="3"/>
  <c r="M74" i="3"/>
  <c r="O74" i="3"/>
  <c r="R74" i="3" a="1"/>
  <c r="B75" i="3"/>
  <c r="C75" i="3"/>
  <c r="F75" i="3"/>
  <c r="M75" i="3"/>
  <c r="O75" i="3"/>
  <c r="R75" i="3" a="1"/>
  <c r="B76" i="3"/>
  <c r="C76" i="3"/>
  <c r="F76" i="3"/>
  <c r="M76" i="3"/>
  <c r="O76" i="3"/>
  <c r="R76" i="3" a="1"/>
  <c r="B77" i="3"/>
  <c r="C77" i="3"/>
  <c r="F77" i="3"/>
  <c r="M77" i="3"/>
  <c r="O77" i="3"/>
  <c r="R77" i="3" a="1"/>
  <c r="B78" i="3"/>
  <c r="C78" i="3"/>
  <c r="F78" i="3"/>
  <c r="M78" i="3"/>
  <c r="O78" i="3"/>
  <c r="R78" i="3" a="1"/>
  <c r="B79" i="3"/>
  <c r="C79" i="3"/>
  <c r="F79" i="3"/>
  <c r="M79" i="3"/>
  <c r="O79" i="3"/>
  <c r="R79" i="3" a="1"/>
  <c r="B80" i="3"/>
  <c r="C80" i="3"/>
  <c r="F80" i="3"/>
  <c r="M80" i="3"/>
  <c r="O80" i="3"/>
  <c r="R80" i="3" a="1"/>
  <c r="B81" i="3"/>
  <c r="C81" i="3"/>
  <c r="F81" i="3"/>
  <c r="M81" i="3"/>
  <c r="O81" i="3"/>
  <c r="R81" i="3" a="1"/>
  <c r="B82" i="3"/>
  <c r="C82" i="3"/>
  <c r="F82" i="3"/>
  <c r="M82" i="3"/>
  <c r="O82" i="3"/>
  <c r="R82" i="3" a="1"/>
  <c r="B83" i="3"/>
  <c r="C83" i="3"/>
  <c r="F83" i="3"/>
  <c r="M83" i="3"/>
  <c r="O83" i="3"/>
  <c r="R83" i="3" a="1"/>
  <c r="B84" i="3"/>
  <c r="C84" i="3"/>
  <c r="F84" i="3"/>
  <c r="M84" i="3"/>
  <c r="O84" i="3"/>
  <c r="R84" i="3" a="1"/>
  <c r="B85" i="3"/>
  <c r="C85" i="3"/>
  <c r="F85" i="3"/>
  <c r="M85" i="3"/>
  <c r="O85" i="3"/>
  <c r="R85" i="3" a="1"/>
  <c r="B86" i="3"/>
  <c r="C86" i="3"/>
  <c r="F86" i="3"/>
  <c r="M86" i="3"/>
  <c r="O86" i="3"/>
  <c r="R86" i="3" a="1"/>
  <c r="B87" i="3"/>
  <c r="C87" i="3"/>
  <c r="F87" i="3"/>
  <c r="M87" i="3"/>
  <c r="O87" i="3"/>
  <c r="R87" i="3" a="1"/>
  <c r="B88" i="3"/>
  <c r="C88" i="3"/>
  <c r="F88" i="3"/>
  <c r="M88" i="3"/>
  <c r="O88" i="3"/>
  <c r="R88" i="3" a="1"/>
  <c r="B89" i="3"/>
  <c r="C89" i="3"/>
  <c r="F89" i="3"/>
  <c r="M89" i="3"/>
  <c r="O89" i="3"/>
  <c r="R89" i="3" a="1"/>
  <c r="B90" i="3"/>
  <c r="C90" i="3"/>
  <c r="F90" i="3"/>
  <c r="M90" i="3"/>
  <c r="O90" i="3"/>
  <c r="R90" i="3" a="1"/>
  <c r="B91" i="3"/>
  <c r="C91" i="3"/>
  <c r="F91" i="3"/>
  <c r="M91" i="3"/>
  <c r="O91" i="3"/>
  <c r="R91" i="3" a="1"/>
  <c r="B92" i="3"/>
  <c r="C92" i="3"/>
  <c r="F92" i="3"/>
  <c r="M92" i="3"/>
  <c r="O92" i="3"/>
  <c r="R92" i="3" a="1"/>
  <c r="B93" i="3"/>
  <c r="C93" i="3"/>
  <c r="F93" i="3"/>
  <c r="M93" i="3"/>
  <c r="O93" i="3"/>
  <c r="R93" i="3" a="1"/>
  <c r="B94" i="3"/>
  <c r="C94" i="3"/>
  <c r="F94" i="3"/>
  <c r="M94" i="3"/>
  <c r="O94" i="3"/>
  <c r="R94" i="3" a="1"/>
  <c r="B95" i="3"/>
  <c r="C95" i="3"/>
  <c r="F95" i="3"/>
  <c r="M95" i="3"/>
  <c r="O95" i="3"/>
  <c r="R95" i="3" a="1"/>
  <c r="B96" i="3"/>
  <c r="C96" i="3"/>
  <c r="F96" i="3"/>
  <c r="M96" i="3"/>
  <c r="O96" i="3"/>
  <c r="R96" i="3" a="1"/>
  <c r="B97" i="3"/>
  <c r="C97" i="3"/>
  <c r="F97" i="3"/>
  <c r="M97" i="3"/>
  <c r="O97" i="3"/>
  <c r="R97" i="3" a="1"/>
  <c r="B98" i="3"/>
  <c r="C98" i="3"/>
  <c r="F98" i="3"/>
  <c r="M98" i="3"/>
  <c r="O98" i="3"/>
  <c r="R98" i="3" a="1"/>
  <c r="B99" i="3"/>
  <c r="C99" i="3"/>
  <c r="F99" i="3"/>
  <c r="M99" i="3"/>
  <c r="O99" i="3"/>
  <c r="R99" i="3" a="1"/>
  <c r="B100" i="3"/>
  <c r="C100" i="3"/>
  <c r="F100" i="3"/>
  <c r="M100" i="3"/>
  <c r="O100" i="3"/>
  <c r="R100" i="3" a="1"/>
  <c r="B101" i="3"/>
  <c r="C101" i="3"/>
  <c r="F101" i="3"/>
  <c r="M101" i="3"/>
  <c r="O101" i="3"/>
  <c r="R101" i="3" a="1"/>
  <c r="B102" i="3"/>
  <c r="C102" i="3"/>
  <c r="F102" i="3"/>
  <c r="M102" i="3"/>
  <c r="O102" i="3"/>
  <c r="R102" i="3" a="1"/>
  <c r="B103" i="3"/>
  <c r="C103" i="3"/>
  <c r="F103" i="3"/>
  <c r="M103" i="3"/>
  <c r="O103" i="3"/>
  <c r="R103" i="3" a="1"/>
  <c r="B104" i="3"/>
  <c r="C104" i="3"/>
  <c r="F104" i="3"/>
  <c r="M104" i="3"/>
  <c r="O104" i="3"/>
  <c r="R104" i="3" a="1"/>
  <c r="B105" i="3"/>
  <c r="C105" i="3"/>
  <c r="F105" i="3"/>
  <c r="M105" i="3"/>
  <c r="O105" i="3"/>
  <c r="R105" i="3" a="1"/>
  <c r="B106" i="3"/>
  <c r="C106" i="3"/>
  <c r="F106" i="3"/>
  <c r="M106" i="3"/>
  <c r="O106" i="3"/>
  <c r="R106" i="3" a="1"/>
  <c r="B107" i="3"/>
  <c r="C107" i="3"/>
  <c r="F107" i="3"/>
  <c r="M107" i="3"/>
  <c r="O107" i="3"/>
  <c r="R107" i="3" a="1"/>
  <c r="B108" i="3"/>
  <c r="C108" i="3"/>
  <c r="F108" i="3"/>
  <c r="M108" i="3"/>
  <c r="O108" i="3"/>
  <c r="R108" i="3" a="1"/>
  <c r="B109" i="3"/>
  <c r="C109" i="3"/>
  <c r="F109" i="3"/>
  <c r="M109" i="3"/>
  <c r="O109" i="3"/>
  <c r="R109" i="3" a="1"/>
  <c r="B110" i="3"/>
  <c r="C110" i="3"/>
  <c r="F110" i="3"/>
  <c r="M110" i="3"/>
  <c r="O110" i="3"/>
  <c r="R110" i="3" a="1"/>
  <c r="B111" i="3"/>
  <c r="C111" i="3"/>
  <c r="F111" i="3"/>
  <c r="M111" i="3"/>
  <c r="O111" i="3"/>
  <c r="R111" i="3" a="1"/>
  <c r="B112" i="3"/>
  <c r="C112" i="3"/>
  <c r="F112" i="3"/>
  <c r="M112" i="3"/>
  <c r="O112" i="3"/>
  <c r="R112" i="3" a="1"/>
  <c r="B113" i="3"/>
  <c r="C113" i="3"/>
  <c r="F113" i="3"/>
  <c r="M113" i="3"/>
  <c r="O113" i="3"/>
  <c r="R113" i="3" a="1"/>
  <c r="B114" i="3"/>
  <c r="C114" i="3"/>
  <c r="F114" i="3"/>
  <c r="M114" i="3"/>
  <c r="O114" i="3"/>
  <c r="R114" i="3" a="1"/>
  <c r="B115" i="3"/>
  <c r="C115" i="3"/>
  <c r="F115" i="3"/>
  <c r="M115" i="3"/>
  <c r="O115" i="3"/>
  <c r="R115" i="3" a="1"/>
  <c r="B116" i="3"/>
  <c r="C116" i="3"/>
  <c r="F116" i="3"/>
  <c r="M116" i="3"/>
  <c r="O116" i="3"/>
  <c r="R116" i="3" a="1"/>
  <c r="B117" i="3"/>
  <c r="C117" i="3"/>
  <c r="F117" i="3"/>
  <c r="M117" i="3"/>
  <c r="O117" i="3"/>
  <c r="R117" i="3" a="1"/>
  <c r="B118" i="3"/>
  <c r="C118" i="3"/>
  <c r="F118" i="3"/>
  <c r="M118" i="3"/>
  <c r="O118" i="3"/>
  <c r="R118" i="3" a="1"/>
  <c r="B119" i="3"/>
  <c r="C119" i="3"/>
  <c r="F119" i="3"/>
  <c r="M119" i="3"/>
  <c r="O119" i="3"/>
  <c r="R119" i="3" a="1"/>
  <c r="B120" i="3"/>
  <c r="C120" i="3"/>
  <c r="F120" i="3"/>
  <c r="M120" i="3"/>
  <c r="O120" i="3"/>
  <c r="R120" i="3" a="1"/>
  <c r="B121" i="3"/>
  <c r="C121" i="3"/>
  <c r="F121" i="3"/>
  <c r="M121" i="3"/>
  <c r="O121" i="3"/>
  <c r="R121" i="3" a="1"/>
  <c r="B122" i="3"/>
  <c r="C122" i="3"/>
  <c r="F122" i="3"/>
  <c r="M122" i="3"/>
  <c r="O122" i="3"/>
  <c r="R122" i="3" a="1"/>
  <c r="B123" i="3"/>
  <c r="C123" i="3"/>
  <c r="F123" i="3"/>
  <c r="M123" i="3"/>
  <c r="O123" i="3"/>
  <c r="R123" i="3" a="1"/>
  <c r="B124" i="3"/>
  <c r="C124" i="3"/>
  <c r="F124" i="3"/>
  <c r="M124" i="3"/>
  <c r="O124" i="3"/>
  <c r="R124" i="3" a="1"/>
  <c r="B125" i="3"/>
  <c r="C125" i="3"/>
  <c r="F125" i="3"/>
  <c r="M125" i="3"/>
  <c r="O125" i="3"/>
  <c r="R125" i="3" a="1"/>
  <c r="B126" i="3"/>
  <c r="C126" i="3"/>
  <c r="F126" i="3"/>
  <c r="M126" i="3"/>
  <c r="O126" i="3"/>
  <c r="R126" i="3" a="1"/>
  <c r="B127" i="3"/>
  <c r="C127" i="3"/>
  <c r="F127" i="3"/>
  <c r="M127" i="3"/>
  <c r="O127" i="3"/>
  <c r="R127" i="3" a="1"/>
  <c r="B128" i="3"/>
  <c r="C128" i="3"/>
  <c r="F128" i="3"/>
  <c r="M128" i="3"/>
  <c r="O128" i="3"/>
  <c r="R128" i="3" a="1"/>
  <c r="B129" i="3"/>
  <c r="C129" i="3"/>
  <c r="F129" i="3"/>
  <c r="M129" i="3"/>
  <c r="O129" i="3"/>
  <c r="R129" i="3" a="1"/>
  <c r="B130" i="3"/>
  <c r="C130" i="3"/>
  <c r="F130" i="3"/>
  <c r="M130" i="3"/>
  <c r="O130" i="3"/>
  <c r="R130" i="3" a="1"/>
  <c r="B131" i="3"/>
  <c r="C131" i="3"/>
  <c r="F131" i="3"/>
  <c r="M131" i="3"/>
  <c r="O131" i="3"/>
  <c r="R131" i="3" a="1"/>
  <c r="B132" i="3"/>
  <c r="C132" i="3"/>
  <c r="F132" i="3"/>
  <c r="M132" i="3"/>
  <c r="O132" i="3"/>
  <c r="R132" i="3" a="1"/>
  <c r="B133" i="3"/>
  <c r="C133" i="3"/>
  <c r="F133" i="3"/>
  <c r="M133" i="3"/>
  <c r="O133" i="3"/>
  <c r="R133" i="3" a="1"/>
  <c r="B134" i="3"/>
  <c r="C134" i="3"/>
  <c r="F134" i="3"/>
  <c r="M134" i="3"/>
  <c r="O134" i="3"/>
  <c r="R134" i="3" a="1"/>
  <c r="B135" i="3"/>
  <c r="C135" i="3"/>
  <c r="F135" i="3"/>
  <c r="M135" i="3"/>
  <c r="O135" i="3"/>
  <c r="R135" i="3" a="1"/>
  <c r="B136" i="3"/>
  <c r="C136" i="3"/>
  <c r="F136" i="3"/>
  <c r="M136" i="3"/>
  <c r="O136" i="3"/>
  <c r="R136" i="3" a="1"/>
  <c r="B137" i="3"/>
  <c r="C137" i="3"/>
  <c r="F137" i="3"/>
  <c r="M137" i="3"/>
  <c r="O137" i="3"/>
  <c r="R137" i="3" a="1"/>
  <c r="B138" i="3"/>
  <c r="C138" i="3"/>
  <c r="F138" i="3"/>
  <c r="M138" i="3"/>
  <c r="O138" i="3"/>
  <c r="R138" i="3" a="1"/>
  <c r="B139" i="3"/>
  <c r="C139" i="3"/>
  <c r="F139" i="3"/>
  <c r="M139" i="3"/>
  <c r="O139" i="3"/>
  <c r="R139" i="3" a="1"/>
  <c r="B140" i="3"/>
  <c r="C140" i="3"/>
  <c r="F140" i="3"/>
  <c r="M140" i="3"/>
  <c r="O140" i="3"/>
  <c r="R140" i="3" a="1"/>
  <c r="B141" i="3"/>
  <c r="C141" i="3"/>
  <c r="F141" i="3"/>
  <c r="M141" i="3"/>
  <c r="O141" i="3"/>
  <c r="R141" i="3" a="1"/>
  <c r="B142" i="3"/>
  <c r="C142" i="3"/>
  <c r="F142" i="3"/>
  <c r="M142" i="3"/>
  <c r="O142" i="3"/>
  <c r="R142" i="3" a="1"/>
  <c r="B143" i="3"/>
  <c r="C143" i="3"/>
  <c r="F143" i="3"/>
  <c r="M143" i="3"/>
  <c r="O143" i="3"/>
  <c r="R143" i="3" a="1"/>
  <c r="B144" i="3"/>
  <c r="C144" i="3"/>
  <c r="F144" i="3"/>
  <c r="M144" i="3"/>
  <c r="O144" i="3"/>
  <c r="R144" i="3" a="1"/>
  <c r="B145" i="3"/>
  <c r="C145" i="3"/>
  <c r="F145" i="3"/>
  <c r="M145" i="3"/>
  <c r="O145" i="3"/>
  <c r="R145" i="3" a="1"/>
  <c r="B146" i="3"/>
  <c r="C146" i="3"/>
  <c r="F146" i="3"/>
  <c r="M146" i="3"/>
  <c r="O146" i="3"/>
  <c r="R146" i="3" a="1"/>
  <c r="B147" i="3"/>
  <c r="C147" i="3"/>
  <c r="F147" i="3"/>
  <c r="M147" i="3"/>
  <c r="O147" i="3"/>
  <c r="R147" i="3" a="1"/>
  <c r="B148" i="3"/>
  <c r="C148" i="3"/>
  <c r="F148" i="3"/>
  <c r="M148" i="3"/>
  <c r="O148" i="3"/>
  <c r="R148" i="3" a="1"/>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C3" i="2"/>
  <c r="C4" i="2"/>
  <c r="C5" i="2"/>
  <c r="C2" i="2"/>
  <c r="S143" i="3" a="1"/>
  <c r="S143" i="3"/>
  <c r="S142" i="3" a="1"/>
  <c r="S142" i="3"/>
  <c r="S70" i="3" a="1"/>
  <c r="S70" i="3"/>
  <c r="S69" i="3" a="1"/>
  <c r="S69" i="3"/>
  <c r="S141" i="3" a="1"/>
  <c r="S141" i="3"/>
  <c r="S30" i="3" a="1"/>
  <c r="S30" i="3"/>
  <c r="S68" i="3" a="1"/>
  <c r="S68" i="3"/>
  <c r="S140" i="3" a="1"/>
  <c r="S140" i="3"/>
  <c r="S29" i="3" a="1"/>
  <c r="S29" i="3"/>
  <c r="S139" i="3" a="1"/>
  <c r="S139" i="3"/>
  <c r="S28" i="3" a="1"/>
  <c r="S28" i="3"/>
  <c r="S138" i="3" a="1"/>
  <c r="S138" i="3"/>
  <c r="S27" i="3" a="1"/>
  <c r="S27" i="3"/>
  <c r="S137" i="3" a="1"/>
  <c r="S137" i="3"/>
  <c r="S148" i="3" a="1"/>
  <c r="S148" i="3"/>
  <c r="S5" i="3" a="1"/>
  <c r="S5" i="3"/>
  <c r="S26" i="3" a="1"/>
  <c r="S26" i="3"/>
  <c r="S67" i="3" a="1"/>
  <c r="S67" i="3"/>
  <c r="S136" i="3" a="1"/>
  <c r="S136" i="3"/>
  <c r="S66" i="3" a="1"/>
  <c r="S66" i="3"/>
  <c r="S135" i="3" a="1"/>
  <c r="S135" i="3"/>
  <c r="S77" i="3" a="1"/>
  <c r="S77" i="3"/>
  <c r="S134" i="3" a="1"/>
  <c r="S134" i="3"/>
  <c r="S133" i="3" a="1"/>
  <c r="S133" i="3"/>
  <c r="S65" i="3" a="1"/>
  <c r="S65" i="3"/>
  <c r="S132" i="3" a="1"/>
  <c r="S132" i="3"/>
  <c r="S25" i="3" a="1"/>
  <c r="S25" i="3"/>
  <c r="S4" i="3" a="1"/>
  <c r="S4" i="3"/>
  <c r="S131" i="3" a="1"/>
  <c r="S131" i="3"/>
  <c r="S130" i="3" a="1"/>
  <c r="S130" i="3"/>
  <c r="S129" i="3" a="1"/>
  <c r="S129" i="3"/>
  <c r="S24" i="3" a="1"/>
  <c r="S24" i="3"/>
  <c r="S128" i="3" a="1"/>
  <c r="S128" i="3"/>
  <c r="S23" i="3" a="1"/>
  <c r="S23" i="3"/>
  <c r="S22" i="3" a="1"/>
  <c r="S22" i="3"/>
  <c r="S127" i="3" a="1"/>
  <c r="S127" i="3"/>
  <c r="S21" i="3" a="1"/>
  <c r="S21" i="3"/>
  <c r="S64" i="3" a="1"/>
  <c r="S64" i="3"/>
  <c r="S76" i="3" a="1"/>
  <c r="S76" i="3"/>
  <c r="S147" i="3" a="1"/>
  <c r="S147" i="3"/>
  <c r="S126" i="3" a="1"/>
  <c r="S126" i="3"/>
  <c r="S125" i="3" a="1"/>
  <c r="S125" i="3"/>
  <c r="S124" i="3" a="1"/>
  <c r="S124" i="3"/>
  <c r="S123" i="3" a="1"/>
  <c r="S123" i="3"/>
  <c r="S20" i="3" a="1"/>
  <c r="S20" i="3"/>
  <c r="S122" i="3" a="1"/>
  <c r="S122" i="3"/>
  <c r="S121" i="3" a="1"/>
  <c r="S121" i="3"/>
  <c r="S120" i="3" a="1"/>
  <c r="S120" i="3"/>
  <c r="S119" i="3" a="1"/>
  <c r="S119" i="3"/>
  <c r="S118" i="3" a="1"/>
  <c r="S118" i="3"/>
  <c r="S117" i="3" a="1"/>
  <c r="S117" i="3"/>
  <c r="S116" i="3" a="1"/>
  <c r="S116" i="3"/>
  <c r="S63" i="3" a="1"/>
  <c r="S63" i="3"/>
  <c r="S115" i="3" a="1"/>
  <c r="S115" i="3"/>
  <c r="S62" i="3" a="1"/>
  <c r="S62" i="3"/>
  <c r="S75" i="3" a="1"/>
  <c r="S75" i="3"/>
  <c r="S61" i="3" a="1"/>
  <c r="S61" i="3"/>
  <c r="S114" i="3" a="1"/>
  <c r="S114" i="3"/>
  <c r="S113" i="3" a="1"/>
  <c r="S113" i="3"/>
  <c r="S60" i="3" a="1"/>
  <c r="S60" i="3"/>
  <c r="S59" i="3" a="1"/>
  <c r="S59" i="3"/>
  <c r="S58" i="3" a="1"/>
  <c r="S58" i="3"/>
  <c r="S57" i="3" a="1"/>
  <c r="S57" i="3"/>
  <c r="S56" i="3" a="1"/>
  <c r="S56" i="3"/>
  <c r="S112" i="3" a="1"/>
  <c r="S112" i="3"/>
  <c r="S111" i="3" a="1"/>
  <c r="S111" i="3"/>
  <c r="S74" i="3" a="1"/>
  <c r="S74" i="3"/>
  <c r="S3" i="3" a="1"/>
  <c r="S3" i="3"/>
  <c r="S19" i="3" a="1"/>
  <c r="S19" i="3"/>
  <c r="S110" i="3" a="1"/>
  <c r="S110" i="3"/>
  <c r="S109" i="3" a="1"/>
  <c r="S109" i="3"/>
  <c r="S55" i="3" a="1"/>
  <c r="S55" i="3"/>
  <c r="S108" i="3" a="1"/>
  <c r="S108" i="3"/>
  <c r="S146" i="3" a="1"/>
  <c r="S146" i="3"/>
  <c r="S107" i="3" a="1"/>
  <c r="S107" i="3"/>
  <c r="S18" i="3" a="1"/>
  <c r="S18" i="3"/>
  <c r="S106" i="3" a="1"/>
  <c r="S106" i="3"/>
  <c r="S17" i="3" a="1"/>
  <c r="S17" i="3"/>
  <c r="S16" i="3" a="1"/>
  <c r="S16" i="3"/>
  <c r="S15" i="3" a="1"/>
  <c r="S15" i="3"/>
  <c r="S105" i="3" a="1"/>
  <c r="S105" i="3"/>
  <c r="S54" i="3" a="1"/>
  <c r="S54" i="3"/>
  <c r="S104" i="3" a="1"/>
  <c r="S104" i="3"/>
  <c r="S14" i="3" a="1"/>
  <c r="S14" i="3"/>
  <c r="S145" i="3" a="1"/>
  <c r="S145" i="3"/>
  <c r="S144" i="3" a="1"/>
  <c r="S144" i="3"/>
  <c r="S73" i="3" a="1"/>
  <c r="S73" i="3"/>
  <c r="S53" i="3" a="1"/>
  <c r="S53" i="3"/>
  <c r="S103" i="3" a="1"/>
  <c r="S103" i="3"/>
  <c r="S52" i="3" a="1"/>
  <c r="S52" i="3"/>
  <c r="S102" i="3" a="1"/>
  <c r="S102" i="3"/>
  <c r="S72" i="3" a="1"/>
  <c r="S72" i="3"/>
  <c r="S101" i="3" a="1"/>
  <c r="S101" i="3"/>
  <c r="S51" i="3" a="1"/>
  <c r="S51" i="3"/>
  <c r="S50" i="3" a="1"/>
  <c r="S50" i="3"/>
  <c r="S49" i="3" a="1"/>
  <c r="S49" i="3"/>
  <c r="S100" i="3" a="1"/>
  <c r="S100" i="3"/>
  <c r="S99" i="3" a="1"/>
  <c r="S99" i="3"/>
  <c r="S98" i="3" a="1"/>
  <c r="S98" i="3"/>
  <c r="S48" i="3" a="1"/>
  <c r="S48" i="3"/>
  <c r="S47" i="3" a="1"/>
  <c r="S47" i="3"/>
  <c r="S46" i="3" a="1"/>
  <c r="S46" i="3"/>
  <c r="S45" i="3" a="1"/>
  <c r="S45" i="3"/>
  <c r="S44" i="3" a="1"/>
  <c r="S44" i="3"/>
  <c r="S97" i="3" a="1"/>
  <c r="S97" i="3"/>
  <c r="S2" i="3" a="1"/>
  <c r="S2" i="3"/>
  <c r="S96" i="3" a="1"/>
  <c r="S96" i="3"/>
  <c r="S95" i="3" a="1"/>
  <c r="S95" i="3"/>
  <c r="S43" i="3" a="1"/>
  <c r="S43" i="3"/>
  <c r="S42" i="3" a="1"/>
  <c r="S42" i="3"/>
  <c r="S94" i="3" a="1"/>
  <c r="S94" i="3"/>
  <c r="S41" i="3" a="1"/>
  <c r="S41" i="3"/>
  <c r="S40" i="3" a="1"/>
  <c r="S40" i="3"/>
  <c r="S93" i="3" a="1"/>
  <c r="S93" i="3"/>
  <c r="S92" i="3" a="1"/>
  <c r="S92" i="3"/>
  <c r="S91" i="3" a="1"/>
  <c r="S91" i="3"/>
  <c r="S13" i="3" a="1"/>
  <c r="S13" i="3"/>
  <c r="S90" i="3" a="1"/>
  <c r="S90" i="3"/>
  <c r="S89" i="3" a="1"/>
  <c r="S89" i="3"/>
  <c r="S88" i="3" a="1"/>
  <c r="S88" i="3"/>
  <c r="S87" i="3" a="1"/>
  <c r="S87" i="3"/>
  <c r="S86" i="3" a="1"/>
  <c r="S86" i="3"/>
  <c r="S12" i="3" a="1"/>
  <c r="S12" i="3"/>
  <c r="S11" i="3" a="1"/>
  <c r="S11" i="3"/>
  <c r="S85" i="3" a="1"/>
  <c r="S85" i="3"/>
  <c r="S84" i="3" a="1"/>
  <c r="S84" i="3"/>
  <c r="S83" i="3" a="1"/>
  <c r="S83" i="3"/>
  <c r="S10" i="3" a="1"/>
  <c r="S10" i="3"/>
  <c r="S39" i="3" a="1"/>
  <c r="S39" i="3"/>
  <c r="S38" i="3" a="1"/>
  <c r="S38" i="3"/>
  <c r="S37" i="3" a="1"/>
  <c r="S37" i="3"/>
  <c r="S36" i="3" a="1"/>
  <c r="S36" i="3"/>
  <c r="S9" i="3" a="1"/>
  <c r="S9" i="3"/>
  <c r="S8" i="3" a="1"/>
  <c r="S8" i="3"/>
  <c r="S7" i="3" a="1"/>
  <c r="S7" i="3"/>
  <c r="S82" i="3" a="1"/>
  <c r="S82" i="3"/>
  <c r="S35" i="3" a="1"/>
  <c r="S35" i="3"/>
  <c r="S34" i="3" a="1"/>
  <c r="S34" i="3"/>
  <c r="S81" i="3" a="1"/>
  <c r="S81" i="3"/>
  <c r="S80" i="3" a="1"/>
  <c r="S80" i="3"/>
  <c r="S79" i="3" a="1"/>
  <c r="S79" i="3"/>
  <c r="S71" i="3" a="1"/>
  <c r="S71" i="3"/>
  <c r="S33" i="3" a="1"/>
  <c r="S33" i="3"/>
  <c r="S6" i="3" a="1"/>
  <c r="S6" i="3"/>
  <c r="S32" i="3" a="1"/>
  <c r="S32" i="3"/>
  <c r="S31" i="3" a="1"/>
  <c r="S31" i="3"/>
  <c r="S78" i="3" a="1"/>
  <c r="S78" i="3"/>
  <c r="A113" i="3"/>
  <c r="D113" i="3"/>
  <c r="E113" i="3"/>
  <c r="G113" i="3"/>
  <c r="H113" i="3"/>
  <c r="I113" i="3"/>
  <c r="J113" i="3"/>
  <c r="K113" i="3"/>
  <c r="L113" i="3"/>
  <c r="N113" i="3"/>
  <c r="P113" i="3"/>
  <c r="Q113" i="3"/>
  <c r="A114" i="3"/>
  <c r="D114" i="3"/>
  <c r="E114" i="3"/>
  <c r="G114" i="3"/>
  <c r="H114" i="3"/>
  <c r="I114" i="3"/>
  <c r="J114" i="3"/>
  <c r="K114" i="3"/>
  <c r="L114" i="3"/>
  <c r="N114" i="3"/>
  <c r="P114" i="3"/>
  <c r="Q114" i="3"/>
  <c r="A61" i="3"/>
  <c r="D61" i="3"/>
  <c r="E61" i="3"/>
  <c r="G61" i="3"/>
  <c r="H61" i="3"/>
  <c r="I61" i="3"/>
  <c r="J61" i="3"/>
  <c r="K61" i="3"/>
  <c r="L61" i="3"/>
  <c r="N61" i="3"/>
  <c r="P61" i="3"/>
  <c r="Q61" i="3"/>
  <c r="A75" i="3"/>
  <c r="D75" i="3"/>
  <c r="E75" i="3"/>
  <c r="G75" i="3"/>
  <c r="H75" i="3"/>
  <c r="I75" i="3"/>
  <c r="J75" i="3"/>
  <c r="K75" i="3"/>
  <c r="L75" i="3"/>
  <c r="N75" i="3"/>
  <c r="P75" i="3"/>
  <c r="Q75" i="3"/>
  <c r="A62" i="3"/>
  <c r="D62" i="3"/>
  <c r="E62" i="3"/>
  <c r="G62" i="3"/>
  <c r="H62" i="3"/>
  <c r="I62" i="3"/>
  <c r="J62" i="3"/>
  <c r="K62" i="3"/>
  <c r="L62" i="3"/>
  <c r="N62" i="3"/>
  <c r="P62" i="3"/>
  <c r="Q62" i="3"/>
  <c r="A115" i="3"/>
  <c r="D115" i="3"/>
  <c r="E115" i="3"/>
  <c r="G115" i="3"/>
  <c r="H115" i="3"/>
  <c r="I115" i="3"/>
  <c r="J115" i="3"/>
  <c r="K115" i="3"/>
  <c r="L115" i="3"/>
  <c r="N115" i="3"/>
  <c r="P115" i="3"/>
  <c r="Q115" i="3"/>
  <c r="A63" i="3"/>
  <c r="D63" i="3"/>
  <c r="E63" i="3"/>
  <c r="G63" i="3"/>
  <c r="H63" i="3"/>
  <c r="I63" i="3"/>
  <c r="J63" i="3"/>
  <c r="K63" i="3"/>
  <c r="L63" i="3"/>
  <c r="N63" i="3"/>
  <c r="P63" i="3"/>
  <c r="Q63" i="3"/>
  <c r="A116" i="3"/>
  <c r="D116" i="3"/>
  <c r="E116" i="3"/>
  <c r="G116" i="3"/>
  <c r="H116" i="3"/>
  <c r="I116" i="3"/>
  <c r="J116" i="3"/>
  <c r="K116" i="3"/>
  <c r="L116" i="3"/>
  <c r="N116" i="3"/>
  <c r="P116" i="3"/>
  <c r="Q116" i="3"/>
  <c r="A117" i="3"/>
  <c r="D117" i="3"/>
  <c r="E117" i="3"/>
  <c r="G117" i="3"/>
  <c r="H117" i="3"/>
  <c r="I117" i="3"/>
  <c r="J117" i="3"/>
  <c r="K117" i="3"/>
  <c r="L117" i="3"/>
  <c r="N117" i="3"/>
  <c r="P117" i="3"/>
  <c r="Q117" i="3"/>
  <c r="A118" i="3"/>
  <c r="D118" i="3"/>
  <c r="E118" i="3"/>
  <c r="G118" i="3"/>
  <c r="H118" i="3"/>
  <c r="I118" i="3"/>
  <c r="J118" i="3"/>
  <c r="K118" i="3"/>
  <c r="L118" i="3"/>
  <c r="N118" i="3"/>
  <c r="P118" i="3"/>
  <c r="Q118" i="3"/>
  <c r="A119" i="3"/>
  <c r="D119" i="3"/>
  <c r="E119" i="3"/>
  <c r="G119" i="3"/>
  <c r="H119" i="3"/>
  <c r="I119" i="3"/>
  <c r="J119" i="3"/>
  <c r="K119" i="3"/>
  <c r="L119" i="3"/>
  <c r="N119" i="3"/>
  <c r="P119" i="3"/>
  <c r="Q119" i="3"/>
  <c r="A120" i="3"/>
  <c r="D120" i="3"/>
  <c r="E120" i="3"/>
  <c r="G120" i="3"/>
  <c r="H120" i="3"/>
  <c r="I120" i="3"/>
  <c r="J120" i="3"/>
  <c r="K120" i="3"/>
  <c r="L120" i="3"/>
  <c r="N120" i="3"/>
  <c r="P120" i="3"/>
  <c r="Q120" i="3"/>
  <c r="A121" i="3"/>
  <c r="D121" i="3"/>
  <c r="E121" i="3"/>
  <c r="G121" i="3"/>
  <c r="H121" i="3"/>
  <c r="I121" i="3"/>
  <c r="J121" i="3"/>
  <c r="K121" i="3"/>
  <c r="L121" i="3"/>
  <c r="N121" i="3"/>
  <c r="P121" i="3"/>
  <c r="Q121" i="3"/>
  <c r="A122" i="3"/>
  <c r="D122" i="3"/>
  <c r="E122" i="3"/>
  <c r="G122" i="3"/>
  <c r="H122" i="3"/>
  <c r="I122" i="3"/>
  <c r="J122" i="3"/>
  <c r="K122" i="3"/>
  <c r="L122" i="3"/>
  <c r="N122" i="3"/>
  <c r="P122" i="3"/>
  <c r="Q122" i="3"/>
  <c r="A20" i="3"/>
  <c r="D20" i="3"/>
  <c r="E20" i="3"/>
  <c r="G20" i="3"/>
  <c r="H20" i="3"/>
  <c r="I20" i="3"/>
  <c r="J20" i="3"/>
  <c r="K20" i="3"/>
  <c r="L20" i="3"/>
  <c r="N20" i="3"/>
  <c r="P20" i="3"/>
  <c r="Q20" i="3"/>
  <c r="A123" i="3"/>
  <c r="D123" i="3"/>
  <c r="E123" i="3"/>
  <c r="G123" i="3"/>
  <c r="H123" i="3"/>
  <c r="I123" i="3"/>
  <c r="J123" i="3"/>
  <c r="K123" i="3"/>
  <c r="L123" i="3"/>
  <c r="N123" i="3"/>
  <c r="P123" i="3"/>
  <c r="Q123" i="3"/>
  <c r="A124" i="3"/>
  <c r="D124" i="3"/>
  <c r="E124" i="3"/>
  <c r="G124" i="3"/>
  <c r="H124" i="3"/>
  <c r="I124" i="3"/>
  <c r="J124" i="3"/>
  <c r="K124" i="3"/>
  <c r="L124" i="3"/>
  <c r="N124" i="3"/>
  <c r="P124" i="3"/>
  <c r="Q124" i="3"/>
  <c r="A125" i="3"/>
  <c r="D125" i="3"/>
  <c r="E125" i="3"/>
  <c r="G125" i="3"/>
  <c r="H125" i="3"/>
  <c r="I125" i="3"/>
  <c r="J125" i="3"/>
  <c r="K125" i="3"/>
  <c r="L125" i="3"/>
  <c r="N125" i="3"/>
  <c r="P125" i="3"/>
  <c r="Q125" i="3"/>
  <c r="A126" i="3"/>
  <c r="D126" i="3"/>
  <c r="E126" i="3"/>
  <c r="G126" i="3"/>
  <c r="H126" i="3"/>
  <c r="I126" i="3"/>
  <c r="J126" i="3"/>
  <c r="K126" i="3"/>
  <c r="L126" i="3"/>
  <c r="N126" i="3"/>
  <c r="P126" i="3"/>
  <c r="Q126" i="3"/>
  <c r="A147" i="3"/>
  <c r="D147" i="3"/>
  <c r="E147" i="3"/>
  <c r="G147" i="3"/>
  <c r="H147" i="3"/>
  <c r="I147" i="3"/>
  <c r="J147" i="3"/>
  <c r="K147" i="3"/>
  <c r="L147" i="3"/>
  <c r="N147" i="3"/>
  <c r="P147" i="3"/>
  <c r="Q147" i="3"/>
  <c r="A76" i="3"/>
  <c r="D76" i="3"/>
  <c r="E76" i="3"/>
  <c r="G76" i="3"/>
  <c r="H76" i="3"/>
  <c r="I76" i="3"/>
  <c r="J76" i="3"/>
  <c r="K76" i="3"/>
  <c r="L76" i="3"/>
  <c r="N76" i="3"/>
  <c r="P76" i="3"/>
  <c r="Q76" i="3"/>
  <c r="A64" i="3"/>
  <c r="D64" i="3"/>
  <c r="E64" i="3"/>
  <c r="G64" i="3"/>
  <c r="H64" i="3"/>
  <c r="I64" i="3"/>
  <c r="J64" i="3"/>
  <c r="K64" i="3"/>
  <c r="L64" i="3"/>
  <c r="N64" i="3"/>
  <c r="P64" i="3"/>
  <c r="Q64" i="3"/>
  <c r="A21" i="3"/>
  <c r="D21" i="3"/>
  <c r="E21" i="3"/>
  <c r="G21" i="3"/>
  <c r="H21" i="3"/>
  <c r="I21" i="3"/>
  <c r="J21" i="3"/>
  <c r="K21" i="3"/>
  <c r="L21" i="3"/>
  <c r="N21" i="3"/>
  <c r="P21" i="3"/>
  <c r="Q21" i="3"/>
  <c r="A127" i="3"/>
  <c r="D127" i="3"/>
  <c r="E127" i="3"/>
  <c r="G127" i="3"/>
  <c r="H127" i="3"/>
  <c r="I127" i="3"/>
  <c r="J127" i="3"/>
  <c r="K127" i="3"/>
  <c r="L127" i="3"/>
  <c r="N127" i="3"/>
  <c r="P127" i="3"/>
  <c r="Q127" i="3"/>
  <c r="A22" i="3"/>
  <c r="D22" i="3"/>
  <c r="E22" i="3"/>
  <c r="G22" i="3"/>
  <c r="H22" i="3"/>
  <c r="I22" i="3"/>
  <c r="J22" i="3"/>
  <c r="K22" i="3"/>
  <c r="L22" i="3"/>
  <c r="N22" i="3"/>
  <c r="P22" i="3"/>
  <c r="Q22" i="3"/>
  <c r="A23" i="3"/>
  <c r="D23" i="3"/>
  <c r="E23" i="3"/>
  <c r="G23" i="3"/>
  <c r="H23" i="3"/>
  <c r="I23" i="3"/>
  <c r="J23" i="3"/>
  <c r="K23" i="3"/>
  <c r="L23" i="3"/>
  <c r="N23" i="3"/>
  <c r="P23" i="3"/>
  <c r="Q23" i="3"/>
  <c r="A128" i="3"/>
  <c r="D128" i="3"/>
  <c r="E128" i="3"/>
  <c r="G128" i="3"/>
  <c r="H128" i="3"/>
  <c r="I128" i="3"/>
  <c r="J128" i="3"/>
  <c r="K128" i="3"/>
  <c r="L128" i="3"/>
  <c r="N128" i="3"/>
  <c r="P128" i="3"/>
  <c r="Q128" i="3"/>
  <c r="A24" i="3"/>
  <c r="D24" i="3"/>
  <c r="E24" i="3"/>
  <c r="G24" i="3"/>
  <c r="H24" i="3"/>
  <c r="I24" i="3"/>
  <c r="J24" i="3"/>
  <c r="K24" i="3"/>
  <c r="L24" i="3"/>
  <c r="N24" i="3"/>
  <c r="P24" i="3"/>
  <c r="Q24" i="3"/>
  <c r="A129" i="3"/>
  <c r="D129" i="3"/>
  <c r="E129" i="3"/>
  <c r="G129" i="3"/>
  <c r="H129" i="3"/>
  <c r="I129" i="3"/>
  <c r="J129" i="3"/>
  <c r="K129" i="3"/>
  <c r="L129" i="3"/>
  <c r="N129" i="3"/>
  <c r="P129" i="3"/>
  <c r="Q129" i="3"/>
  <c r="A130" i="3"/>
  <c r="D130" i="3"/>
  <c r="E130" i="3"/>
  <c r="G130" i="3"/>
  <c r="H130" i="3"/>
  <c r="I130" i="3"/>
  <c r="J130" i="3"/>
  <c r="K130" i="3"/>
  <c r="L130" i="3"/>
  <c r="N130" i="3"/>
  <c r="P130" i="3"/>
  <c r="Q130" i="3"/>
  <c r="A131" i="3"/>
  <c r="D131" i="3"/>
  <c r="E131" i="3"/>
  <c r="G131" i="3"/>
  <c r="H131" i="3"/>
  <c r="I131" i="3"/>
  <c r="J131" i="3"/>
  <c r="K131" i="3"/>
  <c r="L131" i="3"/>
  <c r="N131" i="3"/>
  <c r="P131" i="3"/>
  <c r="Q131" i="3"/>
  <c r="A4" i="3"/>
  <c r="D4" i="3"/>
  <c r="E4" i="3"/>
  <c r="G4" i="3"/>
  <c r="H4" i="3"/>
  <c r="I4" i="3"/>
  <c r="J4" i="3"/>
  <c r="K4" i="3"/>
  <c r="L4" i="3"/>
  <c r="N4" i="3"/>
  <c r="P4" i="3"/>
  <c r="Q4" i="3"/>
  <c r="A25" i="3"/>
  <c r="D25" i="3"/>
  <c r="E25" i="3"/>
  <c r="G25" i="3"/>
  <c r="H25" i="3"/>
  <c r="I25" i="3"/>
  <c r="J25" i="3"/>
  <c r="K25" i="3"/>
  <c r="L25" i="3"/>
  <c r="N25" i="3"/>
  <c r="P25" i="3"/>
  <c r="Q25" i="3"/>
  <c r="A132" i="3"/>
  <c r="D132" i="3"/>
  <c r="E132" i="3"/>
  <c r="G132" i="3"/>
  <c r="H132" i="3"/>
  <c r="I132" i="3"/>
  <c r="J132" i="3"/>
  <c r="K132" i="3"/>
  <c r="L132" i="3"/>
  <c r="N132" i="3"/>
  <c r="P132" i="3"/>
  <c r="Q132" i="3"/>
  <c r="A65" i="3"/>
  <c r="D65" i="3"/>
  <c r="E65" i="3"/>
  <c r="G65" i="3"/>
  <c r="H65" i="3"/>
  <c r="I65" i="3"/>
  <c r="J65" i="3"/>
  <c r="K65" i="3"/>
  <c r="L65" i="3"/>
  <c r="N65" i="3"/>
  <c r="P65" i="3"/>
  <c r="Q65" i="3"/>
  <c r="A133" i="3"/>
  <c r="D133" i="3"/>
  <c r="E133" i="3"/>
  <c r="G133" i="3"/>
  <c r="H133" i="3"/>
  <c r="I133" i="3"/>
  <c r="J133" i="3"/>
  <c r="K133" i="3"/>
  <c r="L133" i="3"/>
  <c r="N133" i="3"/>
  <c r="P133" i="3"/>
  <c r="Q133" i="3"/>
  <c r="A134" i="3"/>
  <c r="D134" i="3"/>
  <c r="E134" i="3"/>
  <c r="G134" i="3"/>
  <c r="H134" i="3"/>
  <c r="I134" i="3"/>
  <c r="J134" i="3"/>
  <c r="K134" i="3"/>
  <c r="L134" i="3"/>
  <c r="N134" i="3"/>
  <c r="P134" i="3"/>
  <c r="Q134" i="3"/>
  <c r="A77" i="3"/>
  <c r="D77" i="3"/>
  <c r="E77" i="3"/>
  <c r="G77" i="3"/>
  <c r="H77" i="3"/>
  <c r="I77" i="3"/>
  <c r="J77" i="3"/>
  <c r="K77" i="3"/>
  <c r="L77" i="3"/>
  <c r="N77" i="3"/>
  <c r="P77" i="3"/>
  <c r="Q77" i="3"/>
  <c r="A135" i="3"/>
  <c r="D135" i="3"/>
  <c r="E135" i="3"/>
  <c r="G135" i="3"/>
  <c r="H135" i="3"/>
  <c r="I135" i="3"/>
  <c r="J135" i="3"/>
  <c r="K135" i="3"/>
  <c r="L135" i="3"/>
  <c r="N135" i="3"/>
  <c r="P135" i="3"/>
  <c r="Q135" i="3"/>
  <c r="A66" i="3"/>
  <c r="D66" i="3"/>
  <c r="E66" i="3"/>
  <c r="G66" i="3"/>
  <c r="H66" i="3"/>
  <c r="I66" i="3"/>
  <c r="J66" i="3"/>
  <c r="K66" i="3"/>
  <c r="L66" i="3"/>
  <c r="N66" i="3"/>
  <c r="P66" i="3"/>
  <c r="Q66" i="3"/>
  <c r="A136" i="3"/>
  <c r="D136" i="3"/>
  <c r="E136" i="3"/>
  <c r="G136" i="3"/>
  <c r="H136" i="3"/>
  <c r="I136" i="3"/>
  <c r="J136" i="3"/>
  <c r="K136" i="3"/>
  <c r="L136" i="3"/>
  <c r="N136" i="3"/>
  <c r="P136" i="3"/>
  <c r="Q136" i="3"/>
  <c r="A67" i="3"/>
  <c r="D67" i="3"/>
  <c r="E67" i="3"/>
  <c r="G67" i="3"/>
  <c r="H67" i="3"/>
  <c r="I67" i="3"/>
  <c r="J67" i="3"/>
  <c r="K67" i="3"/>
  <c r="L67" i="3"/>
  <c r="N67" i="3"/>
  <c r="P67" i="3"/>
  <c r="Q67" i="3"/>
  <c r="A26" i="3"/>
  <c r="D26" i="3"/>
  <c r="E26" i="3"/>
  <c r="G26" i="3"/>
  <c r="H26" i="3"/>
  <c r="I26" i="3"/>
  <c r="J26" i="3"/>
  <c r="K26" i="3"/>
  <c r="L26" i="3"/>
  <c r="N26" i="3"/>
  <c r="P26" i="3"/>
  <c r="Q26" i="3"/>
  <c r="A5" i="3"/>
  <c r="D5" i="3"/>
  <c r="E5" i="3"/>
  <c r="G5" i="3"/>
  <c r="H5" i="3"/>
  <c r="I5" i="3"/>
  <c r="J5" i="3"/>
  <c r="K5" i="3"/>
  <c r="L5" i="3"/>
  <c r="N5" i="3"/>
  <c r="P5" i="3"/>
  <c r="Q5" i="3"/>
  <c r="A148" i="3"/>
  <c r="D148" i="3"/>
  <c r="E148" i="3"/>
  <c r="G148" i="3"/>
  <c r="H148" i="3"/>
  <c r="I148" i="3"/>
  <c r="J148" i="3"/>
  <c r="K148" i="3"/>
  <c r="L148" i="3"/>
  <c r="N148" i="3"/>
  <c r="P148" i="3"/>
  <c r="Q148" i="3"/>
  <c r="A137" i="3"/>
  <c r="D137" i="3"/>
  <c r="E137" i="3"/>
  <c r="G137" i="3"/>
  <c r="H137" i="3"/>
  <c r="I137" i="3"/>
  <c r="J137" i="3"/>
  <c r="K137" i="3"/>
  <c r="L137" i="3"/>
  <c r="N137" i="3"/>
  <c r="P137" i="3"/>
  <c r="Q137" i="3"/>
  <c r="A27" i="3"/>
  <c r="D27" i="3"/>
  <c r="E27" i="3"/>
  <c r="G27" i="3"/>
  <c r="H27" i="3"/>
  <c r="I27" i="3"/>
  <c r="J27" i="3"/>
  <c r="K27" i="3"/>
  <c r="L27" i="3"/>
  <c r="N27" i="3"/>
  <c r="P27" i="3"/>
  <c r="Q27" i="3"/>
  <c r="A138" i="3"/>
  <c r="D138" i="3"/>
  <c r="E138" i="3"/>
  <c r="G138" i="3"/>
  <c r="H138" i="3"/>
  <c r="I138" i="3"/>
  <c r="J138" i="3"/>
  <c r="K138" i="3"/>
  <c r="L138" i="3"/>
  <c r="N138" i="3"/>
  <c r="P138" i="3"/>
  <c r="Q138" i="3"/>
  <c r="A28" i="3"/>
  <c r="D28" i="3"/>
  <c r="E28" i="3"/>
  <c r="G28" i="3"/>
  <c r="H28" i="3"/>
  <c r="I28" i="3"/>
  <c r="J28" i="3"/>
  <c r="K28" i="3"/>
  <c r="L28" i="3"/>
  <c r="N28" i="3"/>
  <c r="P28" i="3"/>
  <c r="Q28" i="3"/>
  <c r="A139" i="3"/>
  <c r="D139" i="3"/>
  <c r="E139" i="3"/>
  <c r="G139" i="3"/>
  <c r="H139" i="3"/>
  <c r="I139" i="3"/>
  <c r="J139" i="3"/>
  <c r="K139" i="3"/>
  <c r="L139" i="3"/>
  <c r="N139" i="3"/>
  <c r="P139" i="3"/>
  <c r="Q139" i="3"/>
  <c r="A29" i="3"/>
  <c r="D29" i="3"/>
  <c r="E29" i="3"/>
  <c r="G29" i="3"/>
  <c r="H29" i="3"/>
  <c r="I29" i="3"/>
  <c r="J29" i="3"/>
  <c r="K29" i="3"/>
  <c r="L29" i="3"/>
  <c r="N29" i="3"/>
  <c r="P29" i="3"/>
  <c r="Q29" i="3"/>
  <c r="A140" i="3"/>
  <c r="D140" i="3"/>
  <c r="E140" i="3"/>
  <c r="G140" i="3"/>
  <c r="H140" i="3"/>
  <c r="I140" i="3"/>
  <c r="J140" i="3"/>
  <c r="K140" i="3"/>
  <c r="L140" i="3"/>
  <c r="N140" i="3"/>
  <c r="P140" i="3"/>
  <c r="Q140" i="3"/>
  <c r="A68" i="3"/>
  <c r="D68" i="3"/>
  <c r="E68" i="3"/>
  <c r="G68" i="3"/>
  <c r="H68" i="3"/>
  <c r="I68" i="3"/>
  <c r="J68" i="3"/>
  <c r="K68" i="3"/>
  <c r="L68" i="3"/>
  <c r="N68" i="3"/>
  <c r="P68" i="3"/>
  <c r="Q68" i="3"/>
  <c r="A30" i="3"/>
  <c r="D30" i="3"/>
  <c r="E30" i="3"/>
  <c r="G30" i="3"/>
  <c r="H30" i="3"/>
  <c r="I30" i="3"/>
  <c r="J30" i="3"/>
  <c r="K30" i="3"/>
  <c r="L30" i="3"/>
  <c r="N30" i="3"/>
  <c r="P30" i="3"/>
  <c r="Q30" i="3"/>
  <c r="A141" i="3"/>
  <c r="D141" i="3"/>
  <c r="E141" i="3"/>
  <c r="G141" i="3"/>
  <c r="H141" i="3"/>
  <c r="I141" i="3"/>
  <c r="J141" i="3"/>
  <c r="K141" i="3"/>
  <c r="L141" i="3"/>
  <c r="N141" i="3"/>
  <c r="P141" i="3"/>
  <c r="Q141" i="3"/>
  <c r="A69" i="3"/>
  <c r="D69" i="3"/>
  <c r="E69" i="3"/>
  <c r="G69" i="3"/>
  <c r="H69" i="3"/>
  <c r="I69" i="3"/>
  <c r="J69" i="3"/>
  <c r="K69" i="3"/>
  <c r="L69" i="3"/>
  <c r="N69" i="3"/>
  <c r="P69" i="3"/>
  <c r="Q69" i="3"/>
  <c r="A70" i="3"/>
  <c r="D70" i="3"/>
  <c r="E70" i="3"/>
  <c r="G70" i="3"/>
  <c r="H70" i="3"/>
  <c r="I70" i="3"/>
  <c r="J70" i="3"/>
  <c r="K70" i="3"/>
  <c r="L70" i="3"/>
  <c r="N70" i="3"/>
  <c r="P70" i="3"/>
  <c r="Q70" i="3"/>
  <c r="A142" i="3"/>
  <c r="D142" i="3"/>
  <c r="E142" i="3"/>
  <c r="G142" i="3"/>
  <c r="H142" i="3"/>
  <c r="I142" i="3"/>
  <c r="J142" i="3"/>
  <c r="K142" i="3"/>
  <c r="L142" i="3"/>
  <c r="N142" i="3"/>
  <c r="P142" i="3"/>
  <c r="Q142" i="3"/>
  <c r="A143" i="3"/>
  <c r="D143" i="3"/>
  <c r="E143" i="3"/>
  <c r="G143" i="3"/>
  <c r="H143" i="3"/>
  <c r="I143" i="3"/>
  <c r="J143" i="3"/>
  <c r="K143" i="3"/>
  <c r="L143" i="3"/>
  <c r="N143" i="3"/>
  <c r="P143" i="3"/>
  <c r="Q143" i="3"/>
  <c r="A78" i="3"/>
  <c r="D78" i="3"/>
  <c r="E78" i="3"/>
  <c r="G78" i="3"/>
  <c r="H78" i="3"/>
  <c r="I78" i="3"/>
  <c r="J78" i="3"/>
  <c r="K78" i="3"/>
  <c r="L78" i="3"/>
  <c r="N78" i="3"/>
  <c r="P78" i="3"/>
  <c r="Q78" i="3"/>
  <c r="A31" i="3"/>
  <c r="D31" i="3"/>
  <c r="E31" i="3"/>
  <c r="G31" i="3"/>
  <c r="H31" i="3"/>
  <c r="I31" i="3"/>
  <c r="J31" i="3"/>
  <c r="K31" i="3"/>
  <c r="L31" i="3"/>
  <c r="N31" i="3"/>
  <c r="P31" i="3"/>
  <c r="Q31" i="3"/>
  <c r="A32" i="3"/>
  <c r="D32" i="3"/>
  <c r="E32" i="3"/>
  <c r="G32" i="3"/>
  <c r="H32" i="3"/>
  <c r="I32" i="3"/>
  <c r="J32" i="3"/>
  <c r="K32" i="3"/>
  <c r="L32" i="3"/>
  <c r="N32" i="3"/>
  <c r="P32" i="3"/>
  <c r="Q32" i="3"/>
  <c r="A6" i="3"/>
  <c r="D6" i="3"/>
  <c r="E6" i="3"/>
  <c r="G6" i="3"/>
  <c r="H6" i="3"/>
  <c r="I6" i="3"/>
  <c r="J6" i="3"/>
  <c r="K6" i="3"/>
  <c r="L6" i="3"/>
  <c r="N6" i="3"/>
  <c r="P6" i="3"/>
  <c r="Q6" i="3"/>
  <c r="A33" i="3"/>
  <c r="D33" i="3"/>
  <c r="E33" i="3"/>
  <c r="G33" i="3"/>
  <c r="H33" i="3"/>
  <c r="I33" i="3"/>
  <c r="J33" i="3"/>
  <c r="K33" i="3"/>
  <c r="L33" i="3"/>
  <c r="N33" i="3"/>
  <c r="P33" i="3"/>
  <c r="Q33" i="3"/>
  <c r="A71" i="3"/>
  <c r="D71" i="3"/>
  <c r="E71" i="3"/>
  <c r="G71" i="3"/>
  <c r="H71" i="3"/>
  <c r="I71" i="3"/>
  <c r="J71" i="3"/>
  <c r="K71" i="3"/>
  <c r="L71" i="3"/>
  <c r="N71" i="3"/>
  <c r="P71" i="3"/>
  <c r="Q71" i="3"/>
  <c r="A79" i="3"/>
  <c r="D79" i="3"/>
  <c r="E79" i="3"/>
  <c r="G79" i="3"/>
  <c r="H79" i="3"/>
  <c r="I79" i="3"/>
  <c r="J79" i="3"/>
  <c r="K79" i="3"/>
  <c r="L79" i="3"/>
  <c r="N79" i="3"/>
  <c r="P79" i="3"/>
  <c r="Q79" i="3"/>
  <c r="A80" i="3"/>
  <c r="D80" i="3"/>
  <c r="E80" i="3"/>
  <c r="G80" i="3"/>
  <c r="H80" i="3"/>
  <c r="I80" i="3"/>
  <c r="J80" i="3"/>
  <c r="K80" i="3"/>
  <c r="L80" i="3"/>
  <c r="N80" i="3"/>
  <c r="P80" i="3"/>
  <c r="Q80" i="3"/>
  <c r="A81" i="3"/>
  <c r="D81" i="3"/>
  <c r="E81" i="3"/>
  <c r="G81" i="3"/>
  <c r="H81" i="3"/>
  <c r="I81" i="3"/>
  <c r="J81" i="3"/>
  <c r="K81" i="3"/>
  <c r="L81" i="3"/>
  <c r="N81" i="3"/>
  <c r="P81" i="3"/>
  <c r="Q81" i="3"/>
  <c r="A34" i="3"/>
  <c r="D34" i="3"/>
  <c r="E34" i="3"/>
  <c r="G34" i="3"/>
  <c r="H34" i="3"/>
  <c r="I34" i="3"/>
  <c r="J34" i="3"/>
  <c r="K34" i="3"/>
  <c r="L34" i="3"/>
  <c r="N34" i="3"/>
  <c r="P34" i="3"/>
  <c r="Q34" i="3"/>
  <c r="A35" i="3"/>
  <c r="D35" i="3"/>
  <c r="E35" i="3"/>
  <c r="G35" i="3"/>
  <c r="H35" i="3"/>
  <c r="I35" i="3"/>
  <c r="J35" i="3"/>
  <c r="K35" i="3"/>
  <c r="L35" i="3"/>
  <c r="N35" i="3"/>
  <c r="P35" i="3"/>
  <c r="Q35" i="3"/>
  <c r="A82" i="3"/>
  <c r="D82" i="3"/>
  <c r="E82" i="3"/>
  <c r="G82" i="3"/>
  <c r="H82" i="3"/>
  <c r="I82" i="3"/>
  <c r="J82" i="3"/>
  <c r="K82" i="3"/>
  <c r="L82" i="3"/>
  <c r="N82" i="3"/>
  <c r="P82" i="3"/>
  <c r="Q82" i="3"/>
  <c r="A7" i="3"/>
  <c r="D7" i="3"/>
  <c r="E7" i="3"/>
  <c r="G7" i="3"/>
  <c r="H7" i="3"/>
  <c r="I7" i="3"/>
  <c r="J7" i="3"/>
  <c r="K7" i="3"/>
  <c r="L7" i="3"/>
  <c r="N7" i="3"/>
  <c r="P7" i="3"/>
  <c r="Q7" i="3"/>
  <c r="A8" i="3"/>
  <c r="D8" i="3"/>
  <c r="E8" i="3"/>
  <c r="G8" i="3"/>
  <c r="H8" i="3"/>
  <c r="I8" i="3"/>
  <c r="J8" i="3"/>
  <c r="K8" i="3"/>
  <c r="L8" i="3"/>
  <c r="N8" i="3"/>
  <c r="P8" i="3"/>
  <c r="Q8" i="3"/>
  <c r="A9" i="3"/>
  <c r="D9" i="3"/>
  <c r="E9" i="3"/>
  <c r="G9" i="3"/>
  <c r="H9" i="3"/>
  <c r="I9" i="3"/>
  <c r="J9" i="3"/>
  <c r="K9" i="3"/>
  <c r="L9" i="3"/>
  <c r="N9" i="3"/>
  <c r="P9" i="3"/>
  <c r="Q9" i="3"/>
  <c r="A36" i="3"/>
  <c r="D36" i="3"/>
  <c r="E36" i="3"/>
  <c r="G36" i="3"/>
  <c r="H36" i="3"/>
  <c r="I36" i="3"/>
  <c r="J36" i="3"/>
  <c r="K36" i="3"/>
  <c r="L36" i="3"/>
  <c r="N36" i="3"/>
  <c r="P36" i="3"/>
  <c r="Q36" i="3"/>
  <c r="A37" i="3"/>
  <c r="D37" i="3"/>
  <c r="E37" i="3"/>
  <c r="G37" i="3"/>
  <c r="H37" i="3"/>
  <c r="I37" i="3"/>
  <c r="J37" i="3"/>
  <c r="K37" i="3"/>
  <c r="L37" i="3"/>
  <c r="N37" i="3"/>
  <c r="P37" i="3"/>
  <c r="Q37" i="3"/>
  <c r="A38" i="3"/>
  <c r="D38" i="3"/>
  <c r="E38" i="3"/>
  <c r="G38" i="3"/>
  <c r="H38" i="3"/>
  <c r="I38" i="3"/>
  <c r="J38" i="3"/>
  <c r="K38" i="3"/>
  <c r="L38" i="3"/>
  <c r="N38" i="3"/>
  <c r="P38" i="3"/>
  <c r="Q38" i="3"/>
  <c r="A39" i="3"/>
  <c r="D39" i="3"/>
  <c r="E39" i="3"/>
  <c r="G39" i="3"/>
  <c r="H39" i="3"/>
  <c r="I39" i="3"/>
  <c r="J39" i="3"/>
  <c r="K39" i="3"/>
  <c r="L39" i="3"/>
  <c r="N39" i="3"/>
  <c r="P39" i="3"/>
  <c r="Q39" i="3"/>
  <c r="A10" i="3"/>
  <c r="D10" i="3"/>
  <c r="E10" i="3"/>
  <c r="G10" i="3"/>
  <c r="H10" i="3"/>
  <c r="I10" i="3"/>
  <c r="J10" i="3"/>
  <c r="K10" i="3"/>
  <c r="L10" i="3"/>
  <c r="N10" i="3"/>
  <c r="P10" i="3"/>
  <c r="Q10" i="3"/>
  <c r="A83" i="3"/>
  <c r="D83" i="3"/>
  <c r="E83" i="3"/>
  <c r="G83" i="3"/>
  <c r="H83" i="3"/>
  <c r="I83" i="3"/>
  <c r="J83" i="3"/>
  <c r="K83" i="3"/>
  <c r="L83" i="3"/>
  <c r="N83" i="3"/>
  <c r="P83" i="3"/>
  <c r="Q83" i="3"/>
  <c r="A84" i="3"/>
  <c r="D84" i="3"/>
  <c r="E84" i="3"/>
  <c r="G84" i="3"/>
  <c r="H84" i="3"/>
  <c r="I84" i="3"/>
  <c r="J84" i="3"/>
  <c r="K84" i="3"/>
  <c r="L84" i="3"/>
  <c r="N84" i="3"/>
  <c r="P84" i="3"/>
  <c r="Q84" i="3"/>
  <c r="A85" i="3"/>
  <c r="D85" i="3"/>
  <c r="E85" i="3"/>
  <c r="G85" i="3"/>
  <c r="H85" i="3"/>
  <c r="I85" i="3"/>
  <c r="J85" i="3"/>
  <c r="K85" i="3"/>
  <c r="L85" i="3"/>
  <c r="N85" i="3"/>
  <c r="P85" i="3"/>
  <c r="Q85" i="3"/>
  <c r="A11" i="3"/>
  <c r="D11" i="3"/>
  <c r="E11" i="3"/>
  <c r="G11" i="3"/>
  <c r="H11" i="3"/>
  <c r="I11" i="3"/>
  <c r="J11" i="3"/>
  <c r="K11" i="3"/>
  <c r="L11" i="3"/>
  <c r="N11" i="3"/>
  <c r="P11" i="3"/>
  <c r="Q11" i="3"/>
  <c r="A12" i="3"/>
  <c r="D12" i="3"/>
  <c r="E12" i="3"/>
  <c r="G12" i="3"/>
  <c r="H12" i="3"/>
  <c r="I12" i="3"/>
  <c r="J12" i="3"/>
  <c r="K12" i="3"/>
  <c r="L12" i="3"/>
  <c r="N12" i="3"/>
  <c r="P12" i="3"/>
  <c r="Q12" i="3"/>
  <c r="A86" i="3"/>
  <c r="D86" i="3"/>
  <c r="E86" i="3"/>
  <c r="G86" i="3"/>
  <c r="H86" i="3"/>
  <c r="I86" i="3"/>
  <c r="J86" i="3"/>
  <c r="K86" i="3"/>
  <c r="L86" i="3"/>
  <c r="N86" i="3"/>
  <c r="P86" i="3"/>
  <c r="Q86" i="3"/>
  <c r="A87" i="3"/>
  <c r="D87" i="3"/>
  <c r="E87" i="3"/>
  <c r="G87" i="3"/>
  <c r="H87" i="3"/>
  <c r="I87" i="3"/>
  <c r="J87" i="3"/>
  <c r="K87" i="3"/>
  <c r="L87" i="3"/>
  <c r="N87" i="3"/>
  <c r="P87" i="3"/>
  <c r="Q87" i="3"/>
  <c r="A88" i="3"/>
  <c r="D88" i="3"/>
  <c r="E88" i="3"/>
  <c r="G88" i="3"/>
  <c r="H88" i="3"/>
  <c r="I88" i="3"/>
  <c r="J88" i="3"/>
  <c r="K88" i="3"/>
  <c r="L88" i="3"/>
  <c r="N88" i="3"/>
  <c r="P88" i="3"/>
  <c r="Q88" i="3"/>
  <c r="A89" i="3"/>
  <c r="D89" i="3"/>
  <c r="E89" i="3"/>
  <c r="G89" i="3"/>
  <c r="H89" i="3"/>
  <c r="I89" i="3"/>
  <c r="J89" i="3"/>
  <c r="K89" i="3"/>
  <c r="L89" i="3"/>
  <c r="N89" i="3"/>
  <c r="P89" i="3"/>
  <c r="Q89" i="3"/>
  <c r="A90" i="3"/>
  <c r="D90" i="3"/>
  <c r="E90" i="3"/>
  <c r="G90" i="3"/>
  <c r="H90" i="3"/>
  <c r="I90" i="3"/>
  <c r="J90" i="3"/>
  <c r="K90" i="3"/>
  <c r="L90" i="3"/>
  <c r="N90" i="3"/>
  <c r="P90" i="3"/>
  <c r="Q90" i="3"/>
  <c r="A13" i="3"/>
  <c r="D13" i="3"/>
  <c r="E13" i="3"/>
  <c r="G13" i="3"/>
  <c r="H13" i="3"/>
  <c r="I13" i="3"/>
  <c r="J13" i="3"/>
  <c r="K13" i="3"/>
  <c r="L13" i="3"/>
  <c r="N13" i="3"/>
  <c r="P13" i="3"/>
  <c r="Q13" i="3"/>
  <c r="A91" i="3"/>
  <c r="D91" i="3"/>
  <c r="E91" i="3"/>
  <c r="G91" i="3"/>
  <c r="H91" i="3"/>
  <c r="I91" i="3"/>
  <c r="J91" i="3"/>
  <c r="K91" i="3"/>
  <c r="L91" i="3"/>
  <c r="N91" i="3"/>
  <c r="P91" i="3"/>
  <c r="Q91" i="3"/>
  <c r="A92" i="3"/>
  <c r="D92" i="3"/>
  <c r="E92" i="3"/>
  <c r="G92" i="3"/>
  <c r="H92" i="3"/>
  <c r="I92" i="3"/>
  <c r="J92" i="3"/>
  <c r="K92" i="3"/>
  <c r="L92" i="3"/>
  <c r="N92" i="3"/>
  <c r="P92" i="3"/>
  <c r="Q92" i="3"/>
  <c r="A93" i="3"/>
  <c r="D93" i="3"/>
  <c r="E93" i="3"/>
  <c r="G93" i="3"/>
  <c r="H93" i="3"/>
  <c r="I93" i="3"/>
  <c r="J93" i="3"/>
  <c r="K93" i="3"/>
  <c r="L93" i="3"/>
  <c r="N93" i="3"/>
  <c r="P93" i="3"/>
  <c r="Q93" i="3"/>
  <c r="A40" i="3"/>
  <c r="D40" i="3"/>
  <c r="E40" i="3"/>
  <c r="G40" i="3"/>
  <c r="H40" i="3"/>
  <c r="I40" i="3"/>
  <c r="J40" i="3"/>
  <c r="K40" i="3"/>
  <c r="L40" i="3"/>
  <c r="N40" i="3"/>
  <c r="P40" i="3"/>
  <c r="Q40" i="3"/>
  <c r="A41" i="3"/>
  <c r="D41" i="3"/>
  <c r="E41" i="3"/>
  <c r="G41" i="3"/>
  <c r="H41" i="3"/>
  <c r="I41" i="3"/>
  <c r="J41" i="3"/>
  <c r="K41" i="3"/>
  <c r="L41" i="3"/>
  <c r="N41" i="3"/>
  <c r="P41" i="3"/>
  <c r="Q41" i="3"/>
  <c r="A94" i="3"/>
  <c r="D94" i="3"/>
  <c r="E94" i="3"/>
  <c r="G94" i="3"/>
  <c r="H94" i="3"/>
  <c r="I94" i="3"/>
  <c r="J94" i="3"/>
  <c r="K94" i="3"/>
  <c r="L94" i="3"/>
  <c r="N94" i="3"/>
  <c r="P94" i="3"/>
  <c r="Q94" i="3"/>
  <c r="A42" i="3"/>
  <c r="D42" i="3"/>
  <c r="E42" i="3"/>
  <c r="G42" i="3"/>
  <c r="H42" i="3"/>
  <c r="I42" i="3"/>
  <c r="J42" i="3"/>
  <c r="K42" i="3"/>
  <c r="L42" i="3"/>
  <c r="N42" i="3"/>
  <c r="P42" i="3"/>
  <c r="Q42" i="3"/>
  <c r="A43" i="3"/>
  <c r="D43" i="3"/>
  <c r="E43" i="3"/>
  <c r="G43" i="3"/>
  <c r="H43" i="3"/>
  <c r="I43" i="3"/>
  <c r="J43" i="3"/>
  <c r="K43" i="3"/>
  <c r="L43" i="3"/>
  <c r="N43" i="3"/>
  <c r="P43" i="3"/>
  <c r="Q43" i="3"/>
  <c r="A95" i="3"/>
  <c r="D95" i="3"/>
  <c r="E95" i="3"/>
  <c r="G95" i="3"/>
  <c r="H95" i="3"/>
  <c r="I95" i="3"/>
  <c r="J95" i="3"/>
  <c r="K95" i="3"/>
  <c r="L95" i="3"/>
  <c r="N95" i="3"/>
  <c r="P95" i="3"/>
  <c r="Q95" i="3"/>
  <c r="A96" i="3"/>
  <c r="D96" i="3"/>
  <c r="E96" i="3"/>
  <c r="G96" i="3"/>
  <c r="H96" i="3"/>
  <c r="I96" i="3"/>
  <c r="J96" i="3"/>
  <c r="K96" i="3"/>
  <c r="L96" i="3"/>
  <c r="N96" i="3"/>
  <c r="P96" i="3"/>
  <c r="Q96" i="3"/>
  <c r="A2" i="3"/>
  <c r="D2" i="3"/>
  <c r="E2" i="3"/>
  <c r="G2" i="3"/>
  <c r="H2" i="3"/>
  <c r="I2" i="3"/>
  <c r="J2" i="3"/>
  <c r="K2" i="3"/>
  <c r="L2" i="3"/>
  <c r="N2" i="3"/>
  <c r="P2" i="3"/>
  <c r="Q2" i="3"/>
  <c r="A97" i="3"/>
  <c r="D97" i="3"/>
  <c r="E97" i="3"/>
  <c r="G97" i="3"/>
  <c r="H97" i="3"/>
  <c r="I97" i="3"/>
  <c r="J97" i="3"/>
  <c r="K97" i="3"/>
  <c r="L97" i="3"/>
  <c r="N97" i="3"/>
  <c r="P97" i="3"/>
  <c r="Q97" i="3"/>
  <c r="A44" i="3"/>
  <c r="D44" i="3"/>
  <c r="E44" i="3"/>
  <c r="G44" i="3"/>
  <c r="H44" i="3"/>
  <c r="I44" i="3"/>
  <c r="J44" i="3"/>
  <c r="K44" i="3"/>
  <c r="L44" i="3"/>
  <c r="N44" i="3"/>
  <c r="P44" i="3"/>
  <c r="Q44" i="3"/>
  <c r="A45" i="3"/>
  <c r="D45" i="3"/>
  <c r="E45" i="3"/>
  <c r="G45" i="3"/>
  <c r="H45" i="3"/>
  <c r="I45" i="3"/>
  <c r="J45" i="3"/>
  <c r="K45" i="3"/>
  <c r="L45" i="3"/>
  <c r="N45" i="3"/>
  <c r="P45" i="3"/>
  <c r="Q45" i="3"/>
  <c r="A46" i="3"/>
  <c r="D46" i="3"/>
  <c r="E46" i="3"/>
  <c r="G46" i="3"/>
  <c r="H46" i="3"/>
  <c r="I46" i="3"/>
  <c r="J46" i="3"/>
  <c r="K46" i="3"/>
  <c r="L46" i="3"/>
  <c r="N46" i="3"/>
  <c r="P46" i="3"/>
  <c r="Q46" i="3"/>
  <c r="A47" i="3"/>
  <c r="D47" i="3"/>
  <c r="E47" i="3"/>
  <c r="G47" i="3"/>
  <c r="H47" i="3"/>
  <c r="I47" i="3"/>
  <c r="J47" i="3"/>
  <c r="K47" i="3"/>
  <c r="L47" i="3"/>
  <c r="N47" i="3"/>
  <c r="P47" i="3"/>
  <c r="Q47" i="3"/>
  <c r="A48" i="3"/>
  <c r="D48" i="3"/>
  <c r="E48" i="3"/>
  <c r="G48" i="3"/>
  <c r="H48" i="3"/>
  <c r="I48" i="3"/>
  <c r="J48" i="3"/>
  <c r="K48" i="3"/>
  <c r="L48" i="3"/>
  <c r="N48" i="3"/>
  <c r="P48" i="3"/>
  <c r="Q48" i="3"/>
  <c r="A98" i="3"/>
  <c r="D98" i="3"/>
  <c r="E98" i="3"/>
  <c r="G98" i="3"/>
  <c r="H98" i="3"/>
  <c r="I98" i="3"/>
  <c r="J98" i="3"/>
  <c r="K98" i="3"/>
  <c r="L98" i="3"/>
  <c r="N98" i="3"/>
  <c r="P98" i="3"/>
  <c r="Q98" i="3"/>
  <c r="A99" i="3"/>
  <c r="D99" i="3"/>
  <c r="E99" i="3"/>
  <c r="G99" i="3"/>
  <c r="H99" i="3"/>
  <c r="I99" i="3"/>
  <c r="J99" i="3"/>
  <c r="K99" i="3"/>
  <c r="L99" i="3"/>
  <c r="N99" i="3"/>
  <c r="P99" i="3"/>
  <c r="Q99" i="3"/>
  <c r="A100" i="3"/>
  <c r="D100" i="3"/>
  <c r="E100" i="3"/>
  <c r="G100" i="3"/>
  <c r="H100" i="3"/>
  <c r="I100" i="3"/>
  <c r="J100" i="3"/>
  <c r="K100" i="3"/>
  <c r="L100" i="3"/>
  <c r="N100" i="3"/>
  <c r="P100" i="3"/>
  <c r="Q100" i="3"/>
  <c r="A49" i="3"/>
  <c r="D49" i="3"/>
  <c r="E49" i="3"/>
  <c r="G49" i="3"/>
  <c r="H49" i="3"/>
  <c r="I49" i="3"/>
  <c r="J49" i="3"/>
  <c r="K49" i="3"/>
  <c r="L49" i="3"/>
  <c r="N49" i="3"/>
  <c r="P49" i="3"/>
  <c r="Q49" i="3"/>
  <c r="A50" i="3"/>
  <c r="D50" i="3"/>
  <c r="E50" i="3"/>
  <c r="G50" i="3"/>
  <c r="H50" i="3"/>
  <c r="I50" i="3"/>
  <c r="J50" i="3"/>
  <c r="K50" i="3"/>
  <c r="L50" i="3"/>
  <c r="N50" i="3"/>
  <c r="P50" i="3"/>
  <c r="Q50" i="3"/>
  <c r="A51" i="3"/>
  <c r="D51" i="3"/>
  <c r="E51" i="3"/>
  <c r="G51" i="3"/>
  <c r="H51" i="3"/>
  <c r="I51" i="3"/>
  <c r="J51" i="3"/>
  <c r="K51" i="3"/>
  <c r="L51" i="3"/>
  <c r="N51" i="3"/>
  <c r="P51" i="3"/>
  <c r="Q51" i="3"/>
  <c r="A101" i="3"/>
  <c r="D101" i="3"/>
  <c r="E101" i="3"/>
  <c r="G101" i="3"/>
  <c r="H101" i="3"/>
  <c r="I101" i="3"/>
  <c r="J101" i="3"/>
  <c r="K101" i="3"/>
  <c r="L101" i="3"/>
  <c r="N101" i="3"/>
  <c r="P101" i="3"/>
  <c r="Q101" i="3"/>
  <c r="A72" i="3"/>
  <c r="D72" i="3"/>
  <c r="E72" i="3"/>
  <c r="G72" i="3"/>
  <c r="H72" i="3"/>
  <c r="I72" i="3"/>
  <c r="J72" i="3"/>
  <c r="K72" i="3"/>
  <c r="L72" i="3"/>
  <c r="N72" i="3"/>
  <c r="P72" i="3"/>
  <c r="Q72" i="3"/>
  <c r="A102" i="3"/>
  <c r="D102" i="3"/>
  <c r="E102" i="3"/>
  <c r="G102" i="3"/>
  <c r="H102" i="3"/>
  <c r="I102" i="3"/>
  <c r="J102" i="3"/>
  <c r="K102" i="3"/>
  <c r="L102" i="3"/>
  <c r="N102" i="3"/>
  <c r="P102" i="3"/>
  <c r="Q102" i="3"/>
  <c r="A52" i="3"/>
  <c r="D52" i="3"/>
  <c r="E52" i="3"/>
  <c r="G52" i="3"/>
  <c r="H52" i="3"/>
  <c r="I52" i="3"/>
  <c r="J52" i="3"/>
  <c r="K52" i="3"/>
  <c r="L52" i="3"/>
  <c r="N52" i="3"/>
  <c r="P52" i="3"/>
  <c r="Q52" i="3"/>
  <c r="A103" i="3"/>
  <c r="D103" i="3"/>
  <c r="E103" i="3"/>
  <c r="G103" i="3"/>
  <c r="H103" i="3"/>
  <c r="I103" i="3"/>
  <c r="J103" i="3"/>
  <c r="K103" i="3"/>
  <c r="L103" i="3"/>
  <c r="N103" i="3"/>
  <c r="P103" i="3"/>
  <c r="Q103" i="3"/>
  <c r="A53" i="3"/>
  <c r="D53" i="3"/>
  <c r="E53" i="3"/>
  <c r="G53" i="3"/>
  <c r="H53" i="3"/>
  <c r="I53" i="3"/>
  <c r="J53" i="3"/>
  <c r="K53" i="3"/>
  <c r="L53" i="3"/>
  <c r="N53" i="3"/>
  <c r="P53" i="3"/>
  <c r="Q53" i="3"/>
  <c r="A73" i="3"/>
  <c r="D73" i="3"/>
  <c r="E73" i="3"/>
  <c r="G73" i="3"/>
  <c r="H73" i="3"/>
  <c r="I73" i="3"/>
  <c r="J73" i="3"/>
  <c r="K73" i="3"/>
  <c r="L73" i="3"/>
  <c r="N73" i="3"/>
  <c r="P73" i="3"/>
  <c r="Q73" i="3"/>
  <c r="A144" i="3"/>
  <c r="D144" i="3"/>
  <c r="E144" i="3"/>
  <c r="G144" i="3"/>
  <c r="H144" i="3"/>
  <c r="I144" i="3"/>
  <c r="J144" i="3"/>
  <c r="K144" i="3"/>
  <c r="L144" i="3"/>
  <c r="N144" i="3"/>
  <c r="P144" i="3"/>
  <c r="Q144" i="3"/>
  <c r="A145" i="3"/>
  <c r="D145" i="3"/>
  <c r="E145" i="3"/>
  <c r="G145" i="3"/>
  <c r="H145" i="3"/>
  <c r="I145" i="3"/>
  <c r="J145" i="3"/>
  <c r="K145" i="3"/>
  <c r="L145" i="3"/>
  <c r="N145" i="3"/>
  <c r="P145" i="3"/>
  <c r="Q145" i="3"/>
  <c r="A14" i="3"/>
  <c r="D14" i="3"/>
  <c r="E14" i="3"/>
  <c r="G14" i="3"/>
  <c r="H14" i="3"/>
  <c r="I14" i="3"/>
  <c r="J14" i="3"/>
  <c r="K14" i="3"/>
  <c r="L14" i="3"/>
  <c r="N14" i="3"/>
  <c r="P14" i="3"/>
  <c r="Q14" i="3"/>
  <c r="A104" i="3"/>
  <c r="D104" i="3"/>
  <c r="E104" i="3"/>
  <c r="G104" i="3"/>
  <c r="H104" i="3"/>
  <c r="I104" i="3"/>
  <c r="J104" i="3"/>
  <c r="K104" i="3"/>
  <c r="L104" i="3"/>
  <c r="N104" i="3"/>
  <c r="P104" i="3"/>
  <c r="Q104" i="3"/>
  <c r="A54" i="3"/>
  <c r="D54" i="3"/>
  <c r="E54" i="3"/>
  <c r="G54" i="3"/>
  <c r="H54" i="3"/>
  <c r="I54" i="3"/>
  <c r="J54" i="3"/>
  <c r="K54" i="3"/>
  <c r="L54" i="3"/>
  <c r="N54" i="3"/>
  <c r="P54" i="3"/>
  <c r="Q54" i="3"/>
  <c r="A105" i="3"/>
  <c r="D105" i="3"/>
  <c r="E105" i="3"/>
  <c r="G105" i="3"/>
  <c r="H105" i="3"/>
  <c r="I105" i="3"/>
  <c r="J105" i="3"/>
  <c r="K105" i="3"/>
  <c r="L105" i="3"/>
  <c r="N105" i="3"/>
  <c r="P105" i="3"/>
  <c r="Q105" i="3"/>
  <c r="A15" i="3"/>
  <c r="D15" i="3"/>
  <c r="E15" i="3"/>
  <c r="G15" i="3"/>
  <c r="H15" i="3"/>
  <c r="I15" i="3"/>
  <c r="J15" i="3"/>
  <c r="K15" i="3"/>
  <c r="L15" i="3"/>
  <c r="N15" i="3"/>
  <c r="P15" i="3"/>
  <c r="Q15" i="3"/>
  <c r="A16" i="3"/>
  <c r="D16" i="3"/>
  <c r="E16" i="3"/>
  <c r="G16" i="3"/>
  <c r="H16" i="3"/>
  <c r="I16" i="3"/>
  <c r="J16" i="3"/>
  <c r="K16" i="3"/>
  <c r="L16" i="3"/>
  <c r="N16" i="3"/>
  <c r="P16" i="3"/>
  <c r="Q16" i="3"/>
  <c r="A17" i="3"/>
  <c r="D17" i="3"/>
  <c r="E17" i="3"/>
  <c r="G17" i="3"/>
  <c r="H17" i="3"/>
  <c r="I17" i="3"/>
  <c r="J17" i="3"/>
  <c r="K17" i="3"/>
  <c r="L17" i="3"/>
  <c r="N17" i="3"/>
  <c r="P17" i="3"/>
  <c r="Q17" i="3"/>
  <c r="A106" i="3"/>
  <c r="D106" i="3"/>
  <c r="E106" i="3"/>
  <c r="G106" i="3"/>
  <c r="H106" i="3"/>
  <c r="I106" i="3"/>
  <c r="J106" i="3"/>
  <c r="K106" i="3"/>
  <c r="L106" i="3"/>
  <c r="N106" i="3"/>
  <c r="P106" i="3"/>
  <c r="Q106" i="3"/>
  <c r="A18" i="3"/>
  <c r="D18" i="3"/>
  <c r="E18" i="3"/>
  <c r="G18" i="3"/>
  <c r="H18" i="3"/>
  <c r="I18" i="3"/>
  <c r="J18" i="3"/>
  <c r="K18" i="3"/>
  <c r="L18" i="3"/>
  <c r="N18" i="3"/>
  <c r="P18" i="3"/>
  <c r="Q18" i="3"/>
  <c r="A107" i="3"/>
  <c r="D107" i="3"/>
  <c r="E107" i="3"/>
  <c r="G107" i="3"/>
  <c r="H107" i="3"/>
  <c r="I107" i="3"/>
  <c r="J107" i="3"/>
  <c r="K107" i="3"/>
  <c r="L107" i="3"/>
  <c r="N107" i="3"/>
  <c r="P107" i="3"/>
  <c r="Q107" i="3"/>
  <c r="A146" i="3"/>
  <c r="D146" i="3"/>
  <c r="E146" i="3"/>
  <c r="G146" i="3"/>
  <c r="H146" i="3"/>
  <c r="I146" i="3"/>
  <c r="J146" i="3"/>
  <c r="K146" i="3"/>
  <c r="L146" i="3"/>
  <c r="N146" i="3"/>
  <c r="P146" i="3"/>
  <c r="Q146" i="3"/>
  <c r="A108" i="3"/>
  <c r="D108" i="3"/>
  <c r="E108" i="3"/>
  <c r="G108" i="3"/>
  <c r="H108" i="3"/>
  <c r="I108" i="3"/>
  <c r="J108" i="3"/>
  <c r="K108" i="3"/>
  <c r="L108" i="3"/>
  <c r="N108" i="3"/>
  <c r="P108" i="3"/>
  <c r="Q108" i="3"/>
  <c r="A55" i="3"/>
  <c r="D55" i="3"/>
  <c r="E55" i="3"/>
  <c r="G55" i="3"/>
  <c r="H55" i="3"/>
  <c r="I55" i="3"/>
  <c r="J55" i="3"/>
  <c r="K55" i="3"/>
  <c r="L55" i="3"/>
  <c r="N55" i="3"/>
  <c r="P55" i="3"/>
  <c r="Q55" i="3"/>
  <c r="A109" i="3"/>
  <c r="D109" i="3"/>
  <c r="E109" i="3"/>
  <c r="G109" i="3"/>
  <c r="H109" i="3"/>
  <c r="I109" i="3"/>
  <c r="J109" i="3"/>
  <c r="K109" i="3"/>
  <c r="L109" i="3"/>
  <c r="N109" i="3"/>
  <c r="P109" i="3"/>
  <c r="Q109" i="3"/>
  <c r="A110" i="3"/>
  <c r="D110" i="3"/>
  <c r="E110" i="3"/>
  <c r="G110" i="3"/>
  <c r="H110" i="3"/>
  <c r="I110" i="3"/>
  <c r="J110" i="3"/>
  <c r="K110" i="3"/>
  <c r="L110" i="3"/>
  <c r="N110" i="3"/>
  <c r="P110" i="3"/>
  <c r="Q110" i="3"/>
  <c r="A19" i="3"/>
  <c r="D19" i="3"/>
  <c r="E19" i="3"/>
  <c r="G19" i="3"/>
  <c r="H19" i="3"/>
  <c r="I19" i="3"/>
  <c r="J19" i="3"/>
  <c r="K19" i="3"/>
  <c r="L19" i="3"/>
  <c r="N19" i="3"/>
  <c r="P19" i="3"/>
  <c r="Q19" i="3"/>
  <c r="A3" i="3"/>
  <c r="D3" i="3"/>
  <c r="E3" i="3"/>
  <c r="G3" i="3"/>
  <c r="H3" i="3"/>
  <c r="I3" i="3"/>
  <c r="J3" i="3"/>
  <c r="K3" i="3"/>
  <c r="L3" i="3"/>
  <c r="N3" i="3"/>
  <c r="P3" i="3"/>
  <c r="Q3" i="3"/>
  <c r="A74" i="3"/>
  <c r="D74" i="3"/>
  <c r="E74" i="3"/>
  <c r="G74" i="3"/>
  <c r="H74" i="3"/>
  <c r="I74" i="3"/>
  <c r="J74" i="3"/>
  <c r="K74" i="3"/>
  <c r="L74" i="3"/>
  <c r="N74" i="3"/>
  <c r="P74" i="3"/>
  <c r="Q74" i="3"/>
  <c r="A111" i="3"/>
  <c r="D111" i="3"/>
  <c r="E111" i="3"/>
  <c r="G111" i="3"/>
  <c r="H111" i="3"/>
  <c r="I111" i="3"/>
  <c r="J111" i="3"/>
  <c r="K111" i="3"/>
  <c r="L111" i="3"/>
  <c r="N111" i="3"/>
  <c r="P111" i="3"/>
  <c r="Q111" i="3"/>
  <c r="A112" i="3"/>
  <c r="D112" i="3"/>
  <c r="E112" i="3"/>
  <c r="G112" i="3"/>
  <c r="H112" i="3"/>
  <c r="I112" i="3"/>
  <c r="J112" i="3"/>
  <c r="K112" i="3"/>
  <c r="L112" i="3"/>
  <c r="N112" i="3"/>
  <c r="P112" i="3"/>
  <c r="Q112" i="3"/>
  <c r="A56" i="3"/>
  <c r="D56" i="3"/>
  <c r="E56" i="3"/>
  <c r="G56" i="3"/>
  <c r="H56" i="3"/>
  <c r="I56" i="3"/>
  <c r="J56" i="3"/>
  <c r="K56" i="3"/>
  <c r="L56" i="3"/>
  <c r="N56" i="3"/>
  <c r="P56" i="3"/>
  <c r="Q56" i="3"/>
  <c r="A57" i="3"/>
  <c r="D57" i="3"/>
  <c r="E57" i="3"/>
  <c r="G57" i="3"/>
  <c r="H57" i="3"/>
  <c r="I57" i="3"/>
  <c r="J57" i="3"/>
  <c r="K57" i="3"/>
  <c r="L57" i="3"/>
  <c r="N57" i="3"/>
  <c r="P57" i="3"/>
  <c r="Q57" i="3"/>
  <c r="A58" i="3"/>
  <c r="D58" i="3"/>
  <c r="E58" i="3"/>
  <c r="G58" i="3"/>
  <c r="H58" i="3"/>
  <c r="I58" i="3"/>
  <c r="J58" i="3"/>
  <c r="K58" i="3"/>
  <c r="L58" i="3"/>
  <c r="N58" i="3"/>
  <c r="P58" i="3"/>
  <c r="Q58" i="3"/>
  <c r="A59" i="3"/>
  <c r="D59" i="3"/>
  <c r="E59" i="3"/>
  <c r="G59" i="3"/>
  <c r="H59" i="3"/>
  <c r="I59" i="3"/>
  <c r="J59" i="3"/>
  <c r="K59" i="3"/>
  <c r="L59" i="3"/>
  <c r="N59" i="3"/>
  <c r="P59" i="3"/>
  <c r="Q59" i="3"/>
  <c r="A60" i="3"/>
  <c r="D60" i="3"/>
  <c r="E60" i="3"/>
  <c r="G60" i="3"/>
  <c r="H60" i="3"/>
  <c r="I60" i="3"/>
  <c r="J60" i="3"/>
  <c r="K60" i="3"/>
  <c r="L60" i="3"/>
  <c r="N60" i="3"/>
  <c r="P60" i="3"/>
  <c r="Q6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<sst xmlns="http://schemas.openxmlformats.org/spreadsheetml/2006/main" count="1746" uniqueCount="469">
  <si>
    <t>Item No.</t>
  </si>
  <si>
    <t>Section</t>
  </si>
  <si>
    <t>Issue</t>
  </si>
  <si>
    <t>MoSCoW</t>
  </si>
  <si>
    <t>Issue Type  (None/Bug/Rework/Enhancement) by HAESL</t>
  </si>
  <si>
    <t>Comments</t>
  </si>
  <si>
    <t>Issue Raise Date</t>
  </si>
  <si>
    <t xml:space="preserve">Raised by </t>
  </si>
  <si>
    <t xml:space="preserve"> Screen Capture </t>
  </si>
  <si>
    <t>Issue Type (None/Bug/Rework/Enhancement) by RR</t>
  </si>
  <si>
    <t>Priority Classification (by RR)</t>
  </si>
  <si>
    <t>User Story No (by RR)</t>
  </si>
  <si>
    <t>Comments (by RR)</t>
  </si>
  <si>
    <t>Change Request Accepted by HAESL(For Enhancements Only)</t>
  </si>
  <si>
    <t>HAESL Comments</t>
  </si>
  <si>
    <t>Comment date, Commented by</t>
  </si>
  <si>
    <t>Closed/Fixed/Not yet fix</t>
  </si>
  <si>
    <t>Admin - Task Owner Setting</t>
  </si>
  <si>
    <t>System</t>
  </si>
  <si>
    <t>Must</t>
  </si>
  <si>
    <t>Bug</t>
  </si>
  <si>
    <t>Duplicate User show in the list when click "MR"</t>
  </si>
  <si>
    <t>Ray</t>
  </si>
  <si>
    <t>Refer to Screen Capture</t>
  </si>
  <si>
    <t>P4</t>
  </si>
  <si>
    <t>Suspecting this can be observed when two users performing same operation at atime. Not able to reproduce it in dev by single user</t>
  </si>
  <si>
    <t>Low, no issue now</t>
  </si>
  <si>
    <t>Fixed</t>
  </si>
  <si>
    <t>Admin - Template Management</t>
  </si>
  <si>
    <t>UI</t>
  </si>
  <si>
    <t>Please remove "Hospital", "Check &amp; Repair", "1st Refurbishment", "2nd Refurbishment", "Mature Refurbishment" from the dropdown list.</t>
  </si>
  <si>
    <t>Add "OH" in the list</t>
  </si>
  <si>
    <t>Entries to be removed</t>
  </si>
  <si>
    <t>Admin - Gate Setting</t>
  </si>
  <si>
    <t xml:space="preserve">Unable to show gate "1A" after create. </t>
  </si>
  <si>
    <t>Notification</t>
  </si>
  <si>
    <t>Unable to clear notifcations from notifcation list. After clicking the "X", the same notifcation will pop up again later, all the notifications become accumulate as a huge list.</t>
  </si>
  <si>
    <t>None</t>
  </si>
  <si>
    <t>Not able to reproduce in dev</t>
  </si>
  <si>
    <t>Low, but the counter of msg delayed</t>
  </si>
  <si>
    <t>Planner - Create Streamer</t>
  </si>
  <si>
    <t>Induction date cannot be backdated.</t>
  </si>
  <si>
    <t>Ricky</t>
  </si>
  <si>
    <t>P2</t>
  </si>
  <si>
    <t>Medium, not fixed</t>
  </si>
  <si>
    <t>Unstable Fix</t>
  </si>
  <si>
    <t>Dispatch Module S/N cannot be updated.</t>
  </si>
  <si>
    <t>As per requirement</t>
  </si>
  <si>
    <t>Medium</t>
  </si>
  <si>
    <t>Planner - Task</t>
  </si>
  <si>
    <t>Should</t>
  </si>
  <si>
    <t>The table cells borders is not align</t>
  </si>
  <si>
    <t>Working with Syncfusion on it</t>
  </si>
  <si>
    <t>Low, not yet fixed</t>
  </si>
  <si>
    <t>Not yet fix</t>
  </si>
  <si>
    <t>Showing unexpected date range after filter</t>
  </si>
  <si>
    <t>High, function disappeared</t>
  </si>
  <si>
    <t>Rework</t>
  </si>
  <si>
    <t>Missing implement of Post UAT item U08</t>
  </si>
  <si>
    <t>Removed</t>
  </si>
  <si>
    <t>Closed</t>
  </si>
  <si>
    <t>Planner - Create Streamer / Edit Streamer</t>
  </si>
  <si>
    <t>Inconsistency of value "Retain", if the row added by user, system shows "Retain", if the row is recongnise by PDF, system show "RETAIN". Please update all to capital letter.</t>
  </si>
  <si>
    <t>Low</t>
  </si>
  <si>
    <t>Engine Type List</t>
  </si>
  <si>
    <t>Sort the engine type list in alphabetical sequence</t>
  </si>
  <si>
    <t>Enhancement</t>
  </si>
  <si>
    <t xml:space="preserve">Not a bug, to be addressed as new request </t>
  </si>
  <si>
    <t>Low, fixed</t>
  </si>
  <si>
    <t>Admin - Template Create - Task Selection</t>
  </si>
  <si>
    <t>For Module Level tasks (Items 5, 9, 15, 32, 33, and 39), updating the top‑level item should also update the sub‑tasks automatically.</t>
  </si>
  <si>
    <t>Edmond</t>
  </si>
  <si>
    <t>No action</t>
  </si>
  <si>
    <t>High, operational risk</t>
  </si>
  <si>
    <t>Planner - Tasks</t>
  </si>
  <si>
    <t>Update Task 4 Finish Date:</t>
  </si>
  <si>
    <t>1. 41500 was created on 17 Mar 2026, and Task 4 actual completion date is 17 Mar 2026; however, it is currently showing as 16 Mar 2026.</t>
  </si>
  <si>
    <t>2. Unable to select “Cancel for Approval.”</t>
  </si>
  <si>
    <t>Dev to reproduce issue</t>
  </si>
  <si>
    <t>Job 21231 was completed on 17 May 2026. The completion date was entered as 16 Mar 2026; however, it is not reflected under “Actual Completion.”</t>
  </si>
  <si>
    <t>high, operational risk</t>
  </si>
  <si>
    <t>Notification - Line Manager</t>
  </si>
  <si>
    <t>No items in the line manager notification list even there are few items are pending approval</t>
  </si>
  <si>
    <t>P3</t>
  </si>
  <si>
    <t xml:space="preserve">Notifications seems to disappear in View All screen </t>
  </si>
  <si>
    <t>high, bug</t>
  </si>
  <si>
    <t>Input Type</t>
  </si>
  <si>
    <t>Please update the default value to "Engine", currently is "Others". HAESL major business is "Engine".</t>
  </si>
  <si>
    <t>N/A</t>
  </si>
  <si>
    <t>Changes to be done</t>
  </si>
  <si>
    <t>Unstable of system access, frequently time out/no response when access the system main page, active streamer page</t>
  </si>
  <si>
    <t>Need more details from HAESL on timeout duration and to be verified against NFR</t>
  </si>
  <si>
    <t>Please remove the "Overview" button if nothing was developed under this page</t>
  </si>
  <si>
    <t>To be removed</t>
  </si>
  <si>
    <t>When two users edit the same template and press save, system will create two templates with the same name. If we delete either one of them, both of the template will be deleted. Could the system lock the template if it is being edit to solve this problem?</t>
  </si>
  <si>
    <t>Co-edit issue</t>
  </si>
  <si>
    <t>Needs to be addressed</t>
  </si>
  <si>
    <t>The hour counting is incorrect</t>
  </si>
  <si>
    <t>When create streamer, module level  task was unexpected disabled.</t>
  </si>
  <si>
    <t>Need additional information</t>
  </si>
  <si>
    <t>Admin - Gate Setting, Module Setting &amp; Task Setting</t>
  </si>
  <si>
    <t>The gate setting or module setting change, the template won't have any update. e.g. I delete the Gate 1B, but the Gate 1B still in the template. All the setting should be synchronize.</t>
  </si>
  <si>
    <t>High</t>
  </si>
  <si>
    <t>Tasks</t>
  </si>
  <si>
    <t>Unexpected error after input ACD for the task and press save.</t>
  </si>
  <si>
    <t>Unable to produce bug, Additional information needed</t>
  </si>
  <si>
    <t>high, fixed</t>
  </si>
  <si>
    <t>When I click Accept on an approval task, the approvals list does not refresh immediately to remove the task card. I have to close and reopen the list to see the update. In addition, the task continues to display “Pending for approval”.</t>
  </si>
  <si>
    <t>medium, operational risk</t>
  </si>
  <si>
    <t>Unable to cancel for approval when click "Cancel for Approval" button</t>
  </si>
  <si>
    <t>After enter a late PCD, the reason for delay list is nothing inside</t>
  </si>
  <si>
    <t>High, bug</t>
  </si>
  <si>
    <t>Tasks - Task Owner Filter</t>
  </si>
  <si>
    <t>The Task Owner drop-down list is not syncing with the latest Task Owner settings in Admin. Please update the list items and sort them in alphabetical order.</t>
  </si>
  <si>
    <t>Needs to be synced</t>
  </si>
  <si>
    <t>Medium, bug</t>
  </si>
  <si>
    <t>Streamer - Module Level Task</t>
  </si>
  <si>
    <t>The sequence of module level task should follow the module sequence in admin setting</t>
  </si>
  <si>
    <t>To be changed as mentioned</t>
  </si>
  <si>
    <t>Medium, performance issues</t>
  </si>
  <si>
    <t>Duplicate selection items found.</t>
  </si>
  <si>
    <t>medium, fixed</t>
  </si>
  <si>
    <t>Planner / Task Owner should not able to disable a task when the task already completed. (L02)</t>
  </si>
  <si>
    <t>Changes as per L02</t>
  </si>
  <si>
    <t>Tasks - Approval Process</t>
  </si>
  <si>
    <t>Notification - Approval</t>
  </si>
  <si>
    <t>The list of pending approval tasks do not align with the actual pending approval task</t>
  </si>
  <si>
    <t>Admin - Task Selection update</t>
  </si>
  <si>
    <t>When user update column Start Day and Duration value, system will auto selected the row, it is not what we expect.</t>
  </si>
  <si>
    <t>As per email with Ray, auto selection to be removed</t>
  </si>
  <si>
    <t>When user update module level task Start Day and Duration value and save, the value remain the past value in the edit page, but with the update value in the preview page.</t>
  </si>
  <si>
    <t>As per email with Ray, Save should reflect change in the same page</t>
  </si>
  <si>
    <t>medium, bug</t>
  </si>
  <si>
    <t xml:space="preserve">         </t>
  </si>
  <si>
    <t>Working as per requirement, module level tasks to be updated manually</t>
  </si>
  <si>
    <t>Streamer - Induction update</t>
  </si>
  <si>
    <t>On the streamer page, the induction date shows 19 Mar, which does not match the edit page showing 12 Mar.</t>
  </si>
  <si>
    <t>1.If I press the selection box for module 31 and then press the selection box for module 32, the selection boxes for M31 &amp; M32 will keep showing up</t>
  </si>
  <si>
    <t>2. Selection box is too small, need to waste time to find the choice, if i click the selection box it can show all options, that will be better.</t>
  </si>
  <si>
    <t>Ming</t>
  </si>
  <si>
    <t>All modules to be shown as per screenshot, @Ray to confirm the change</t>
  </si>
  <si>
    <t>Admin - Template Edit</t>
  </si>
  <si>
    <t>rework</t>
  </si>
  <si>
    <r>
      <t xml:space="preserve">Header of Task Selection (Step 2) is </t>
    </r>
    <r>
      <rPr>
        <b/>
        <sz val="11"/>
        <color rgb="FF000000"/>
        <rFont val="Aptos Narrow"/>
        <family val="2"/>
        <scheme val="minor"/>
      </rPr>
      <t xml:space="preserve">hidden  </t>
    </r>
    <r>
      <rPr>
        <sz val="11"/>
        <color rgb="FF000000"/>
        <rFont val="Aptos Narrow"/>
        <family val="2"/>
        <scheme val="minor"/>
      </rPr>
      <t xml:space="preserve">and the header text </t>
    </r>
    <r>
      <rPr>
        <b/>
        <sz val="11"/>
        <color rgb="FF000000"/>
        <rFont val="Aptos Narrow"/>
        <family val="2"/>
        <scheme val="minor"/>
      </rPr>
      <t>NOT be fit into width of columns</t>
    </r>
  </si>
  <si>
    <t>Chris</t>
  </si>
  <si>
    <t>Needs more details</t>
  </si>
  <si>
    <t>medium, performance issue</t>
  </si>
  <si>
    <t>Admin - Template Edit /</t>
  </si>
  <si>
    <t>Content and header is not aligned</t>
  </si>
  <si>
    <t>Duplicated, Refer to #7</t>
  </si>
  <si>
    <t>Known issue, Raised with Syncfusion and is pending fix</t>
  </si>
  <si>
    <t>Planner - Menu Side Bar</t>
  </si>
  <si>
    <t>The label by the hover effect on the menu button is blocked for the button navigation</t>
  </si>
  <si>
    <t>Move the hover text to the side</t>
  </si>
  <si>
    <t>low, fixed</t>
  </si>
  <si>
    <t>The horizontal scroll-bar is hidden on the bottom</t>
  </si>
  <si>
    <t>Always show scroll bar</t>
  </si>
  <si>
    <t>All the fields setting in template should not change even any change happened in the task management. But now when the user go to the edit streamer page, latest task setting will auto update the setting in template edit page.</t>
  </si>
  <si>
    <t>As per requirement, BRD 4.2.9</t>
  </si>
  <si>
    <t>9. Any changes(updating and deleting) in the Tasks management will NOT affect in Templates</t>
  </si>
  <si>
    <t>Planner -&gt; Streamer -&gt;  Active Steamers</t>
  </si>
  <si>
    <t>Cost / DIW covers Tasks 1 to 15 only. As the inspection date is 07 Mar 2026,</t>
  </si>
  <si>
    <t>please confirm that the end date should be 07 Mar 2026 rather than 01 Apr 2026.</t>
  </si>
  <si>
    <t>The Actual Completion Date was completed on 07 Mar 2026, but it is not reflected in the system.(Fxied)</t>
  </si>
  <si>
    <t>Task disable/enable without any confirmation (User need to click save to make changes)</t>
  </si>
  <si>
    <t>1. I entered the induction date as 03 Mar 2026; however, it is displaying as 23 Feb 2026. Please advise if incorrect data was entered.</t>
  </si>
  <si>
    <t>2. The induction date cannot be amended to 03 Mar 2026.</t>
  </si>
  <si>
    <t>high. Fixed</t>
  </si>
  <si>
    <t>Planner -&gt; Streamer -&gt;  Create Streamer</t>
  </si>
  <si>
    <t>Module Set → Sales Order:</t>
  </si>
  <si>
    <t>Unable to display multiple Sales Orders (S/Os).</t>
  </si>
  <si>
    <t>Please confirm whether “Trent 1000” is represented as “Trent 100 TEN” in the workscope.</t>
  </si>
  <si>
    <t>Why can duplicate Sales Orders (S/Os) be displayed?</t>
  </si>
  <si>
    <t>Issue: When creating Module M33 only, the system still displays other modules in the result/list view.</t>
  </si>
  <si>
    <t>Note: A valid template is in use; therefore, this issue is unlikely to be template‑related.</t>
  </si>
  <si>
    <t>Active Streamer &gt; Edit Streamer</t>
  </si>
  <si>
    <t>Module still in the streamer after remove it in the edit mode and save if the module already removed in the admin setting.</t>
  </si>
  <si>
    <t>Not clear, please provide steps and additional details</t>
  </si>
  <si>
    <t>@Ray</t>
  </si>
  <si>
    <t>Template Management - Edit Template</t>
  </si>
  <si>
    <t>the template edit page allow double click the fields(Task owner, Start Day, Duration) to access the target fields to do modification, but it is not working. The modification only happen the user update the fields by click the "Edit" Pencil button</t>
  </si>
  <si>
    <t>Planner -&gt; Streamer -&gt;  Amend Streamer</t>
  </si>
  <si>
    <t>When existing engine streamer module work level change and load a new template or not, all the existing tasks data should be keep.</t>
  </si>
  <si>
    <t>Not clear, need understanding @Ray</t>
  </si>
  <si>
    <t>Planner &gt; Tasks Edit</t>
  </si>
  <si>
    <t>Once I input non-date on the Acutal Completion Date, PCD is changed unexpected. Please validate if the ACD input is a number</t>
  </si>
  <si>
    <t>To be checked</t>
  </si>
  <si>
    <t>Planner &gt; Streamers</t>
  </si>
  <si>
    <t>the user just want to cancel one of the filter fields but only one button to "Clear All"</t>
  </si>
  <si>
    <t>Currently as per requirement, Please details if any modification required</t>
  </si>
  <si>
    <t>low, performance issue</t>
  </si>
  <si>
    <t>Edit Streamer</t>
  </si>
  <si>
    <t>Engine/Module Set multiple sales order for each module, when user edit the streamer all sales order in module become the same sales order</t>
  </si>
  <si>
    <t xml:space="preserve">Inconsistent positions on the TRT indication even it can be blocked by the icon </t>
  </si>
  <si>
    <t xml:space="preserve">To be fixed </t>
  </si>
  <si>
    <t>low, display issue</t>
  </si>
  <si>
    <t>All tasks have the Actual Completion Date entered as 19 Mar 2026, but the system displays 18 Mar 2026.</t>
  </si>
  <si>
    <t>Refer item 56 to Screen Capture</t>
  </si>
  <si>
    <t>Please provide Streamer details. @Ray, @Ricky</t>
  </si>
  <si>
    <t>The top‑level task has been completed; please proceed to complete the sub‑tasks. Engine Level Task update PCD, all module level task will update too (not included the swap module task)</t>
  </si>
  <si>
    <t>For Engine 26121:</t>
  </si>
  <si>
    <t>Task 6 – Components Receipt at Vendor</t>
  </si>
  <si>
    <t>The task Finish Date is 25 Mar 2026; however, the Actual Completion Date was updated to 18 Mar 2026 due to early completion.</t>
  </si>
  <si>
    <t>Task 7 – Parent Task (Components Sentencing)</t>
  </si>
  <si>
    <t>The Finish Date remains 01 Apr 2026 and was not automatically revised to 25 Mar 2026, despite Task 6 being completed earlier.</t>
  </si>
  <si>
    <t>Gantt View</t>
  </si>
  <si>
    <t>Vertical Scroll Bar is visible all the time but not the horizontal one.  Ensure the Horizontal Scroll Bar is visible all the time.</t>
  </si>
  <si>
    <t>Eugene</t>
  </si>
  <si>
    <t>To be done</t>
  </si>
  <si>
    <t>The Arrow Line and the Wording of Task Description should not be overlapped</t>
  </si>
  <si>
    <t>Put a space before and after hypen (-)</t>
  </si>
  <si>
    <t>The dispatched Module S/N cannot be changed at the first input.</t>
  </si>
  <si>
    <t>Resolved: Click swap module button and click the Set as Default</t>
  </si>
  <si>
    <t>Not clear understanding, please provide details @Ricky</t>
  </si>
  <si>
    <t>Since this is the template's grantt view, the display's start date and end date should be showing number instead of calendar date</t>
  </si>
  <si>
    <t>To be corrected</t>
  </si>
  <si>
    <t xml:space="preserve">Planner -&gt; Streamer -&gt; </t>
  </si>
  <si>
    <t>Tasks may be completed earlier than anticipated. Attempted to select today's date (25/03/2026), Project Completion Date cell does not allow for dates earlier than 03/04/2026. Why cannot earlier.</t>
  </si>
  <si>
    <t>Ray: The date selection in calendar in both PCD and ACD is not consistent, sometimes could input today -7, sometimes could input today -14.</t>
  </si>
  <si>
    <t>To be fixed</t>
  </si>
  <si>
    <t>When there are no pending approval tasks, the approval notification icon displays system update logs. We expect the system to display nothing when there are no approval items for Approval Icon.</t>
  </si>
  <si>
    <t>Task Update</t>
  </si>
  <si>
    <t>Parent Child Relationship do not cover all current practises</t>
  </si>
  <si>
    <t>1. WHEN Parent PCD + 2 days, THEN Child PCD + 2 days - Success</t>
  </si>
  <si>
    <r>
      <t xml:space="preserve">2. WHEN Parent PCD - 2 days, THEN Child PCD - 2 days - </t>
    </r>
    <r>
      <rPr>
        <sz val="11"/>
        <color rgb="FFFF0000"/>
        <rFont val="Aptos Narrow"/>
        <family val="2"/>
        <scheme val="minor"/>
      </rPr>
      <t>Failure</t>
    </r>
  </si>
  <si>
    <r>
      <t xml:space="preserve">3. WHEN Parent ACD + 2 days, THEN Child PCD + 2 days - </t>
    </r>
    <r>
      <rPr>
        <sz val="11"/>
        <color rgb="FFFF0000"/>
        <rFont val="Aptos Narrow"/>
        <family val="2"/>
        <scheme val="minor"/>
      </rPr>
      <t>Failure</t>
    </r>
  </si>
  <si>
    <r>
      <t xml:space="preserve">4. WHEN Parent ACD - 2 days, THEN Child PCD - 2 days - </t>
    </r>
    <r>
      <rPr>
        <sz val="11"/>
        <color rgb="FFFF0000"/>
        <rFont val="Aptos Narrow"/>
        <family val="2"/>
        <scheme val="minor"/>
      </rPr>
      <t>Failure</t>
    </r>
  </si>
  <si>
    <t>To be verified</t>
  </si>
  <si>
    <t>Test Plan</t>
  </si>
  <si>
    <t>Fail to upload test plan. When click the preview button, system error prompt</t>
  </si>
  <si>
    <t>Text in the "Comments" disappeared after save</t>
  </si>
  <si>
    <t>what is the max length of reject reason? System error when the reason is a long text</t>
  </si>
  <si>
    <t>In the view all page, Line manager section. Expected Completion Date means Projected Completion Date? if yes, please update. And please add the column of "Actual Completion Date" in this table too.</t>
  </si>
  <si>
    <t>Admin -&gt; Streamer settings -&gt;  Task Owner Settings</t>
  </si>
  <si>
    <t>Task Owner setting cannot be saved for more than two users.</t>
  </si>
  <si>
    <t>E.g. add user to line manager or user, unable to click the "Save" button</t>
  </si>
  <si>
    <t>P1</t>
  </si>
  <si>
    <t>L02 - Task Enable/Disabled : User needs to click on save button</t>
  </si>
  <si>
    <t>Praveen on Ray's Behalf</t>
  </si>
  <si>
    <t>Enable/Disable to make the change and click on save. To be fixed in Patch 2</t>
  </si>
  <si>
    <t>L03 - Complete to WIP, Line manager approval needed</t>
  </si>
  <si>
    <t>To be fixed in Patch 1 - Apr4</t>
  </si>
  <si>
    <t>Task Screen</t>
  </si>
  <si>
    <t>U04 - Interface issue - Window not moveable</t>
  </si>
  <si>
    <t>To be fixed in Patch 2</t>
  </si>
  <si>
    <t xml:space="preserve">U09 - Custom Date Range filter </t>
  </si>
  <si>
    <t>Syncfusion currently doesnt support it, raised a ticket for resolution. Only Month view available as per calendar</t>
  </si>
  <si>
    <t xml:space="preserve">U12 - Task Screen : Hard to identify streamer and task </t>
  </si>
  <si>
    <t xml:space="preserve">Syncfusion doesn’t support 2 columns. Font size of the Streamer name to be increased with Streamer name in bold </t>
  </si>
  <si>
    <t>Test Slot</t>
  </si>
  <si>
    <t xml:space="preserve">F01. Test Plan Upload fails intermittently </t>
  </si>
  <si>
    <t>We are looking into this and are trying to reproduce this, will be addressed in Patch 1</t>
  </si>
  <si>
    <t>U12 - Task Screen : Hard to identify streamer and task</t>
  </si>
  <si>
    <t>Duplicated, refer to #75</t>
  </si>
  <si>
    <t>F03 - all the input in the comments box disappeared after save</t>
  </si>
  <si>
    <t xml:space="preserve">Not a bug, works as expected </t>
  </si>
  <si>
    <t>Line Manager</t>
  </si>
  <si>
    <t>F05 - Line manager rejects a back date entry requires reject reason - System error when type a long text reject reason</t>
  </si>
  <si>
    <t>Fixed and will be available in Patch 1</t>
  </si>
  <si>
    <t xml:space="preserve">Streamer </t>
  </si>
  <si>
    <t>F08. “Edit Streamer” button FAIL, when reload a template, all previous template COMPLETED tasks data should be fill in to the NEW template</t>
  </si>
  <si>
    <t>Re-induction will only contain tasks from newly selected template, all old tasks will be part of previous issue</t>
  </si>
  <si>
    <t>Module Swap</t>
  </si>
  <si>
    <t>F09 - . Module swap assistance FAIL, same module cannot swap to more than one engine streamer at the same time. Module could swap from Engine A then Engine B, but not Engine A and Engine B.</t>
  </si>
  <si>
    <t>Fixed after we received feedback during Demo 3. Will be available in Patch 1</t>
  </si>
  <si>
    <t>Admin -&gt; Template Management -&gt;  Amendment</t>
  </si>
  <si>
    <t>The Task Owner update cannot be changed to another section code.</t>
  </si>
  <si>
    <t>For example, after clicking “Save” and returning to review, no change is reflected.</t>
  </si>
  <si>
    <t>Changes reflects in review screen but if the user goes back to the screen then the changes not reflected, Issue fixed and pending deployment</t>
  </si>
  <si>
    <t xml:space="preserve">Admin -&gt; Template Management </t>
  </si>
  <si>
    <t xml:space="preserve">Tasks 11, 16, 21, and 25 are hidden and can't add back </t>
  </si>
  <si>
    <t>Bug. fixed</t>
  </si>
  <si>
    <t>Streamers-&gt;create streamer</t>
  </si>
  <si>
    <t>No error message is shown when mandatory input data is missing.</t>
  </si>
  <si>
    <t>No error message will be shown but wont let the user proced further without filling the mandatory fields the uesr cannot proceed further</t>
  </si>
  <si>
    <t>Can't type induction date.</t>
  </si>
  <si>
    <t>User needs select from Date picker as per design. Manual entry can cause format inconsistency and errors</t>
  </si>
  <si>
    <t>if create error template (engine template /module template ) can't change to Module template from Engine Template</t>
  </si>
  <si>
    <t>Ray: there are no input type template classification in system, issue closed</t>
  </si>
  <si>
    <t>Need  more details from HAESL</t>
  </si>
  <si>
    <t>When creating a TRT, if “Engine” is selected as the input type, it should accept numbers only. There should be validation to check whether any incorrect (non‑numeric) input is entered.</t>
  </si>
  <si>
    <t>For system flexibity, this validation is not necessary at this moment, issue closed</t>
  </si>
  <si>
    <t>Engine validation required</t>
  </si>
  <si>
    <t>1.It is not possible to change only the streamer name.</t>
  </si>
  <si>
    <t>2. after update streamer name .the streamer name didn't change.</t>
  </si>
  <si>
    <t>Ray: template name is generate by a default format and not suppose for edit, issue closed</t>
  </si>
  <si>
    <r>
      <t>Streamer name change is what type</t>
    </r>
    <r>
      <rPr>
        <b/>
        <sz val="11"/>
        <color rgb="FF000000"/>
        <rFont val="Aptos Narrow"/>
        <family val="2"/>
        <scheme val="minor"/>
      </rPr>
      <t xml:space="preserve"> @Ray</t>
    </r>
  </si>
  <si>
    <t>Streamers-&gt; Task</t>
  </si>
  <si>
    <t>1.In the Task section, only tasks that have not yet been entered should be displayed.</t>
  </si>
  <si>
    <t>2.after update actual date and save .tarage Engine should not close</t>
  </si>
  <si>
    <t>Not clear @Ray</t>
  </si>
  <si>
    <t>no print function in task section</t>
  </si>
  <si>
    <t>TBD</t>
  </si>
  <si>
    <t>Not a requirement</t>
  </si>
  <si>
    <t>can't delete error template</t>
  </si>
  <si>
    <t>Screenshot missing, needs additional details @Ray</t>
  </si>
  <si>
    <t>1. The “Dispatch Module S/N” cannot be changed (again).</t>
  </si>
  <si>
    <t>2. Please add a Back function next to Save.</t>
  </si>
  <si>
    <t>3. Please sort the “Module ATA”.</t>
  </si>
  <si>
    <t>1. Dispatch module is not editable as text. It should be selected from off-module list</t>
  </si>
  <si>
    <t>2. As per design</t>
  </si>
  <si>
    <t xml:space="preserve">3. In Create Streamer page, it is sorted as per Module ATA and it needs to be sorted in Preview screen </t>
  </si>
  <si>
    <t>There is an issue with the date display order.</t>
  </si>
  <si>
    <t>As per requirements, user can click on the Test Date filter and sort accordingly</t>
  </si>
  <si>
    <t>Task Selection → Task Owner (Create &amp; Review pages):</t>
  </si>
  <si>
    <t>The data shown does not match.</t>
  </si>
  <si>
    <t xml:space="preserve">Template Create and review is not the same after changes </t>
  </si>
  <si>
    <t>Planner -&gt; Engine Update</t>
  </si>
  <si>
    <t>How to Use the "Offset Module" Function</t>
  </si>
  <si>
    <t>1. Please add a checkbox to select Not Complete tasks.</t>
  </si>
  <si>
    <t>2. Do not hide the task.</t>
  </si>
  <si>
    <t>3. How can the Not Complete tasks be printed out?</t>
  </si>
  <si>
    <t>1. Task Status can be added as filter in the Task screen @Ray - need your acceptance</t>
  </si>
  <si>
    <t>2. Need additional details</t>
  </si>
  <si>
    <t>3. Print option in task screen not part of requirement</t>
  </si>
  <si>
    <t>Planner - Create and Amend</t>
  </si>
  <si>
    <t>Task 10 &amp; Task 15 – Task Owner Logic</t>
  </si>
  <si>
    <t>Module Level Task Owner</t>
  </si>
  <si>
    <t>If Module is L3 or L4, then Task Owner  = Bench</t>
  </si>
  <si>
    <t>If Module Is L1 or L2, then Task Owner = Module Repair</t>
  </si>
  <si>
    <t>(except for Module 34 which the task owner always be Module Change regardlesss of L1, L2, L3 or L4)</t>
  </si>
  <si>
    <t>Engine Level Task Owner</t>
  </si>
  <si>
    <t>If any of the Module Level task owner is Bench, then the Engine Level task owner is Bench</t>
  </si>
  <si>
    <t>If the Active Module task owner consist both Module Repair or Module Chnage (for Module 34), then the Engine Level task owner is Module Repair</t>
  </si>
  <si>
    <t>If the Active Module task owner consist only Module Repair, then the Engine Level task owner is Module Repair</t>
  </si>
  <si>
    <r>
      <t xml:space="preserve">If  the only Active Module task owner is Module Change (for Module 34), then the Engine Level task owner is Module Change </t>
    </r>
    <r>
      <rPr>
        <sz val="11"/>
        <color rgb="FFFF0000"/>
        <rFont val="Aptos Narrow"/>
        <family val="2"/>
        <scheme val="minor"/>
      </rPr>
      <t>(If only M34 active, Task 10 not active)</t>
    </r>
  </si>
  <si>
    <t>If none of the Module is active, then the Engine Level is also not active</t>
  </si>
  <si>
    <r>
      <t>Note. Module is not active when work level is</t>
    </r>
    <r>
      <rPr>
        <sz val="11"/>
        <color rgb="FFFF0000"/>
        <rFont val="Aptos Narrow"/>
        <family val="2"/>
        <scheme val="minor"/>
      </rPr>
      <t xml:space="preserve"> L1, New, S/Rec'd</t>
    </r>
  </si>
  <si>
    <t>Applicable Modules</t>
  </si>
  <si>
    <t>M31, M32, M33, M34, M41, M51, M52, M61, Engine Mount</t>
  </si>
  <si>
    <t>New or S/R Status</t>
  </si>
  <si>
    <t>Blank or MR</t>
  </si>
  <si>
    <t xml:space="preserve">Not covered in the requirement </t>
  </si>
  <si>
    <t>Table line not match</t>
  </si>
  <si>
    <t xml:space="preserve">Syncfusion issue, working with them </t>
  </si>
  <si>
    <t>low, not yet fixed</t>
  </si>
  <si>
    <t>Add task status filter in the page, planner/task owner could select WIP/Disabled/Completed to filter the task list</t>
  </si>
  <si>
    <t>Medium, operational risk</t>
  </si>
  <si>
    <t>Add toggle button to expand the task list for each streamer</t>
  </si>
  <si>
    <t>Toggle button attribute @Ray</t>
  </si>
  <si>
    <t>User access</t>
  </si>
  <si>
    <t>Staff/Task Owner only able to view Streamer and Tasks</t>
  </si>
  <si>
    <t>Add Task Name and  Sales Order no. on task editing page</t>
  </si>
  <si>
    <t>CCB</t>
  </si>
  <si>
    <t>Notification does not have sufficient information (e.g. Sales Order, ESN, what has been updated etc.)</t>
  </si>
  <si>
    <t>Please mention which details are needed with a few sample messages @Ray</t>
  </si>
  <si>
    <t>Add Task Status filter in Task view page to fiter WIP/Disabled/Completed task status</t>
  </si>
  <si>
    <t>Logistics</t>
  </si>
  <si>
    <t>Duplicate 99</t>
  </si>
  <si>
    <t>Monthly filter is not user friendly to view all task belong to me. Could the duration become unlimited to show all date?</t>
  </si>
  <si>
    <t>Provide exact requirement, Do you want a see Quarter or Yearly view? With all duration, the tasks will be not be visible @Ray</t>
  </si>
  <si>
    <t>Medium, performance issue</t>
  </si>
  <si>
    <t>Admin - Task Management</t>
  </si>
  <si>
    <t>For the XWB97 HSV Template,</t>
  </si>
  <si>
    <r>
      <t xml:space="preserve">a mismatch has </t>
    </r>
    <r>
      <rPr>
        <sz val="11"/>
        <color rgb="FFFF0000"/>
        <rFont val="Aptos Narrow"/>
        <family val="2"/>
        <scheme val="minor"/>
      </rPr>
      <t>again</t>
    </r>
    <r>
      <rPr>
        <sz val="11"/>
        <color rgb="FF000000"/>
        <rFont val="Aptos Narrow"/>
        <family val="2"/>
        <scheme val="minor"/>
      </rPr>
      <t xml:space="preserve"> been identified between the amendment pages and the displayed data for Tasks 15, 32, and 33.</t>
    </r>
  </si>
  <si>
    <t>Task Owner should not able to input futher date within a date range</t>
  </si>
  <si>
    <t>Please provide exact requirement @Ray</t>
  </si>
  <si>
    <t>My Tasks display format not user friendly. Cannot only focus with the outstanding issues. With Searching result : SP, Task 35, 84K, but still showing full Calendar date with no outstanding Task 35. And should not need to click each engine for checking if any outstanding.</t>
  </si>
  <si>
    <t>SP</t>
  </si>
  <si>
    <t>Please provide the expected enhancement requirement @Ray</t>
  </si>
  <si>
    <t>Create Streamer</t>
  </si>
  <si>
    <t>All "Dispatch Module S/N" set to RETAIN, remove the "Set to Default" button in swap module pop up page</t>
  </si>
  <si>
    <t>Medium, design fault</t>
  </si>
  <si>
    <t>User Setting</t>
  </si>
  <si>
    <t>Unable to search the user from the access right list after add the user, and the user unable to access the streamer too.</t>
  </si>
  <si>
    <t xml:space="preserve">Being worked on </t>
  </si>
  <si>
    <t>By clicking both Approval icon or Notification icon, the system only shows the approval request information.</t>
  </si>
  <si>
    <t>High,. Bug</t>
  </si>
  <si>
    <t>Actual Completion Date Should not allow user to select future date. User only able to select today or back date.</t>
  </si>
  <si>
    <t>cw-ray.lam@haesl.com not belong to any task owner dept, why I could update any task data, and do the approval?</t>
  </si>
  <si>
    <t>Notification-Line Manager</t>
  </si>
  <si>
    <t>The View all page of Line Manager should show the  approved by and approved date column, some dept may have more than one line manager.</t>
  </si>
  <si>
    <t>Medium, informational clarity</t>
  </si>
  <si>
    <t>Task</t>
  </si>
  <si>
    <t>Only Planner could disable task (TBC)</t>
  </si>
  <si>
    <t>Notification - Action Log</t>
  </si>
  <si>
    <t>Action log does not show complete information (e.g. cannot show which category has been changed, which ESN, which S/O).</t>
  </si>
  <si>
    <t>Able to clear all notification by a button.</t>
  </si>
  <si>
    <t>And categorize the action log e.g. filter of task update action, filter of test plan update action, notify delayed task if the task WIP. if the action log is about task, user could click on the notification and redirect to the tasks details pop-up screen</t>
  </si>
  <si>
    <t>If too much infomation in each action log, could default collapse and user click on the log will become expand?</t>
  </si>
  <si>
    <t>various</t>
  </si>
  <si>
    <t>Medium, multiple issues</t>
  </si>
  <si>
    <t>Template - task selection</t>
  </si>
  <si>
    <t>In task selection page, the header row should be frozen</t>
  </si>
  <si>
    <t>Low, bug</t>
  </si>
  <si>
    <t>When I edit a task details (e.g. task owner), after I confirm the screen will focus to other area.</t>
  </si>
  <si>
    <t>Medium, the position of the form should be sticky after action triggered</t>
  </si>
  <si>
    <t>After actual completion date updated, no log display for the change</t>
  </si>
  <si>
    <t>CR</t>
  </si>
  <si>
    <t>re-induction</t>
  </si>
  <si>
    <t>DIW and cost review streamer can be re-induction day back day within 7 day</t>
  </si>
  <si>
    <t>streamer -&gt; task (aw approval)</t>
  </si>
  <si>
    <t>some awaiting approve task click enabled button than click the cancel for approval.whatever the task input the ACD and the task will be disabled</t>
  </si>
  <si>
    <t>streamer -&gt; task</t>
  </si>
  <si>
    <t>task action log unclear.the comments commented by last user should stay in comments box.</t>
  </si>
  <si>
    <t>Streamer &gt; Export</t>
  </si>
  <si>
    <t>No matter for PDF or CSV file, to enhance information exported for below columns included:</t>
  </si>
  <si>
    <t xml:space="preserve">| Streamer Name | ESN | Sales Order | Visit Type | Customer Code | Input Type | Induction Date | Test Date | Status (WIP/Completed/Disabled) | </t>
  </si>
  <si>
    <t>Low, but performance issue</t>
  </si>
  <si>
    <t>Streamer &gt; Edit Streamer &gt; Export</t>
  </si>
  <si>
    <t>| Task No | Task Name | Task Owner | Duration | Start Date | Finish Date | Projected Completion Date | Actual Completion Date |</t>
  </si>
  <si>
    <t>Tasks Page &gt; Export</t>
  </si>
  <si>
    <t>To align with Export function with Streamer page, to add Export to PDF &amp; CSV and generate the columns included:</t>
  </si>
  <si>
    <t xml:space="preserve"> | Task Owner | Task ID | Duration | Start Date | Finish Date | Projected Completion Date | Actual Completion Date | Induction Date | Test Date | Reason of Delay | Comments | Task status (WIP/Completed/Disabled) |</t>
  </si>
  <si>
    <t>Off-module list &gt; Export</t>
  </si>
  <si>
    <t>To align with other export function, please add the export to PDF &amp; CSV with the columns included:</t>
  </si>
  <si>
    <t>| Module Name | Module Status | Module ATA | Module SN | Work Level | Engine Type | Cust. Code | Sales Order | Induction Date | Module Build Date | To ESN | Ex ESN | Return to Cust | Reduce to Parts |</t>
  </si>
  <si>
    <t>21954 Test Plan Excel File showes 05/Jun. After test plan file upload, the Project Completion Date of Task 39 - Test (MST) still unchanged on 11/May</t>
  </si>
  <si>
    <t>High, critical bug</t>
  </si>
  <si>
    <t>Streamer &gt; Streamer Edit Page</t>
  </si>
  <si>
    <t xml:space="preserve">it cannot be refreshed by "Refresh (Ctrl + R)" </t>
  </si>
  <si>
    <t>Test-slot &gt; Upload</t>
  </si>
  <si>
    <t>For Task Owner &amp; Staff, the function called "Upload" should be not provided.</t>
  </si>
  <si>
    <t>Test Slot Preview</t>
  </si>
  <si>
    <t>The remark is not correct. For example the engine is in test plan but the remark's comment said the engine is not in the test plan.</t>
  </si>
  <si>
    <t>Task Owner &gt; Task Update</t>
  </si>
  <si>
    <t>Request to remove Actual Complation Date and request for approval was sent and approved. The Actual Completion still not removed.</t>
  </si>
  <si>
    <t>DIW,cost review streamer</t>
  </si>
  <si>
    <t>1. DIW completed and released, streamer  then change to Cost Review  and will need  to capture second release date for Cost Review.</t>
  </si>
  <si>
    <t>2. The DIW streamer cannot be converted to a normal streamer as non-DIW tasks are still locked (Grey Color).</t>
  </si>
  <si>
    <t>3. The Cost Review streamer cannot be converted to a normal streamer as non-Cost Review  tasks are still locked (Grey Color). Also the Cost Review Task data such as Finish Date, PCD &amp; ACD should not be changed (Same as Cost Review Streamer) except for Task 4 Inducton</t>
  </si>
  <si>
    <t>Task Owner - Tasks</t>
  </si>
  <si>
    <t>The tasks view always have unexpected movement of the user view. When I click on a task at the bottom, after I save the task to view the changes, the screen will move back to the top of the calendar, not orginally I focus on.</t>
  </si>
  <si>
    <t>To be demo</t>
  </si>
  <si>
    <t>Task action log not really record all the changes, e.g. not record the delay reason, not record the PCD date changes</t>
  </si>
  <si>
    <t>Various</t>
  </si>
  <si>
    <t>Refer to screen capture</t>
  </si>
  <si>
    <t>In the view all page, we found that the date column in the date format, user can not sort the data by date, please check all the column data type</t>
  </si>
  <si>
    <t>Add "Other Reason" in the delay reason dropdown list</t>
  </si>
  <si>
    <t>Notification - Approval Task</t>
  </si>
  <si>
    <t>For Task approval Line manager require more information to take action, missing sales order, not declare it is a backdate approval or ACD change approval, missing task name. Could system redirect to the task pop up by clicking on the approval notification? Remove the "X" in approval notification list, to avoid Line manager skip/missing any pending approval task.</t>
  </si>
  <si>
    <t>As a task owner, currently design is not user-friendly, I can not focus on any WIP tasks belong to my department. Suggest to add below filters:</t>
  </si>
  <si>
    <t>Task PCD in Today/This Week/Overdue</t>
  </si>
  <si>
    <t>Each notification allow me to redirect to the corresponding streamer/task for follow up</t>
  </si>
  <si>
    <t>As a task owner, I also need to know the below infomation in the task pop up</t>
  </si>
  <si>
    <t>ESN, Module S/N(if it is a module level task), Task Name, Sales Order, Task Owner, Streamer Status. Add an area to shows all streamer tasks status.</t>
  </si>
  <si>
    <t>Active Streamer</t>
  </si>
  <si>
    <t>Not Able to search the streamer by module S/N</t>
  </si>
  <si>
    <t>As a task owner, how could I know the pending approval task was approved or rejected?</t>
  </si>
  <si>
    <t>Medium, not notify the requester</t>
  </si>
  <si>
    <t>In the streamer page to view all the tasks for streamer, column name "Actual Finish Date" should be "Actual Completion Date"</t>
  </si>
  <si>
    <t>Unable to select or view previous issue of streamer</t>
  </si>
  <si>
    <t>Planner -&gt; Streamer</t>
  </si>
  <si>
    <t>HAESL Visit Type: no RTP</t>
  </si>
  <si>
    <t>Task 9, (10), 15, 32, 33 – Task Owner Logic</t>
  </si>
  <si>
    <t>If Tasks 9, (10), 15, 32, and 33 are all at Level 1 (L1) and disabled at the module level, please also disable the engine level.</t>
  </si>
  <si>
    <t>If a module is upgraded from Level 1 (L1) to Level 2 (L2), the corresponding applicable items shall be enabled.</t>
  </si>
  <si>
    <t>High, engine task is not aligned with module</t>
  </si>
  <si>
    <t>Module SN change only – task data (Finish Date, PCD, ACD) to remain unchanged.</t>
  </si>
  <si>
    <t>Duplicted, refer to #50</t>
  </si>
  <si>
    <t>Category</t>
  </si>
  <si>
    <t>Swap Module</t>
  </si>
  <si>
    <t>Desciption</t>
  </si>
  <si>
    <t>Task Owner View</t>
  </si>
  <si>
    <t>DIW/Cost Review</t>
  </si>
  <si>
    <t>it is related to the off-module list to interact with the active streamer. In practice terms, the module can be selected from the off-module list to swap into the existing engine streamer on the Streamer Section as a planner role.</t>
  </si>
  <si>
    <t>it is all about tasks allocated from the streamer and give the task owner to control their own tasks on the calendar view on task section. They can change the projected completion date (PCD), input actual completion date (ACD) with delayed reasons if any as well as request and approve the request if any trigger is needed.</t>
  </si>
  <si>
    <t>On Notification, there are two area for notifying the task owners. Firstly, it is general message notfiication from the task actions like changing the task date from different planner or task owners. Another notification type is to notify the line manager as a supper task owner to accept or reject the approval requests from the staff under the same department group.</t>
  </si>
  <si>
    <t>Comments (Consolidated)</t>
  </si>
  <si>
    <t xml:space="preserve"> Screen Capture </t>
  </si>
  <si>
    <t>Comments (by RR) (Consolidated)</t>
  </si>
  <si>
    <t>HAESL Comments (Consolidated)</t>
  </si>
  <si>
    <t>Classification Hint</t>
  </si>
  <si>
    <t>Appearance</t>
  </si>
  <si>
    <t>Critical Priority</t>
  </si>
  <si>
    <t>high</t>
  </si>
  <si>
    <t>medium</t>
  </si>
  <si>
    <t>low</t>
  </si>
  <si>
    <t>In specific streamer arrangement, the template with the label of DIW/Cost Review can be selected. Once the status of the active streamer is under the status of DIW/Cost Review, the planner would release the investigation or quotation after all tasks are completed in the first induction. Therefore, the planner is able to re-input the second induction information later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</si>
</sst>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strike/>
      <sz val="11"/>
      <color rgb="FF000000"/>
      <name val="Aptos Narrow"/>
      <family val="2"/>
      <scheme val="minor"/>
    </font>
    <font>
      <strike/>
      <sz val="11"/>
      <color rgb="FFFF0000"/>
      <name val="Aptos Narrow"/>
      <family val="2"/>
      <scheme val="minor"/>
    </font>
    <font>
      <sz val="11"/>
      <color rgb="FF000000"/>
      <name val="Aptos"/>
      <family val="2"/>
      <charset val="1"/>
    </font>
    <font>
      <strike/>
      <sz val="11"/>
      <color rgb="FF000000"/>
      <name val="Aptos"/>
      <family val="2"/>
      <charset val="1"/>
    </font>
    <font>
      <b/>
      <u/>
      <sz val="11"/>
      <color rgb="FF000000"/>
      <name val="Aptos Narrow"/>
      <family val="2"/>
      <scheme val="minor"/>
    </font>
    <font>
      <u/>
      <sz val="11"/>
      <color rgb="FF000000"/>
      <name val="Aptos Narrow"/>
      <family val="2"/>
      <scheme val="minor"/>
    </font>
    <font>
      <i/>
      <sz val="11"/>
      <color rgb="FF000000"/>
      <name val="Aptos Narrow"/>
      <family val="2"/>
      <scheme val="minor"/>
    </font>
    <font>
      <sz val="11"/>
      <color rgb="FF242424"/>
      <name val="Aptos Narrow"/>
      <family val="2"/>
      <charset val="1"/>
      <scheme val="minor"/>
    </font>
    <font>
      <sz val="11"/>
      <color rgb="FF000000"/>
      <name val="Calibri"/>
      <family val="2"/>
    </font>
    <font>
      <b/>
      <sz val="11"/>
      <color rgb="FFFFFFFF"/>
      <name val="Aptos Narrow"/>
      <family val="2"/>
      <scheme val="minor"/>
    </font>
  </fonts>
  <fills count="14">
    <fill>
      <patternFill patternType="none"/>
    </fill>
    <fill>
      <patternFill patternType="gray125"/>
    </fill>
    <fill>
      <patternFill patternType="solid">
        <fgColor rgb="FFC0E6F5"/>
        <bgColor rgb="FF000000"/>
      </patternFill>
    </fill>
    <fill>
      <patternFill patternType="solid">
        <fgColor rgb="FFF1A983"/>
        <bgColor rgb="FF000000"/>
      </patternFill>
    </fill>
    <fill>
      <patternFill patternType="solid">
        <fgColor rgb="FFA6C9EC"/>
        <bgColor rgb="FF000000"/>
      </patternFill>
    </fill>
    <fill>
      <patternFill patternType="solid">
        <fgColor rgb="FFF7C7AC"/>
        <bgColor rgb="FF000000"/>
      </patternFill>
    </fill>
    <fill>
      <patternFill patternType="solid">
        <fgColor rgb="FF83CCEB"/>
        <bgColor rgb="FF000000"/>
      </patternFill>
    </fill>
    <fill>
      <patternFill patternType="solid">
        <fgColor rgb="FFFFFFFF"/>
        <bgColor rgb="FF000000"/>
      </patternFill>
    </fill>
    <fill>
      <patternFill patternType="solid">
        <fgColor rgb="FFFFFF00"/>
        <bgColor rgb="FF000000"/>
      </patternFill>
    </fill>
    <fill>
      <patternFill patternType="solid">
        <fgColor rgb="FFF2CEEF"/>
        <bgColor rgb="FF000000"/>
      </patternFill>
    </fill>
    <fill>
      <patternFill patternType="solid">
        <fgColor rgb="FFDAE9F8"/>
        <bgColor rgb="FF000000"/>
      </patternFill>
    </fill>
    <fill>
      <patternFill patternType="solid">
        <fgColor rgb="FFFFB7B7"/>
        <bgColor rgb="FF000000"/>
      </patternFill>
    </fill>
    <fill>
      <patternFill patternType="solid">
        <fgColor rgb="FFFBE2D5"/>
        <bgColor rgb="FF000000"/>
      </patternFill>
    </fill>
    <fill>
      <patternFill patternType="solid">
        <fgColor rgb="FF4472C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rgb="FF8EA9DB"/>
      </top>
      <bottom style="thin">
        <color rgb="FF8EA9DB"/>
      </bottom>
      <diagonal/>
    </border>
    <border>
      <left/>
      <right/>
      <top style="thin">
        <color indexed="64"/>
      </top>
      <bottom/>
      <diagonal/>
    </border>
    <border>
      <left style="thin">
        <color rgb="FFBFBFBF"/>
      </left>
      <right style="thin">
        <color rgb="FFBFBFBF"/>
      </right>
      <top style="thin">
        <color rgb="FFBFBFBF"/>
      </top>
      <bottom style="thin">
        <color rgb="FFBFBFBF"/>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0">
    <xf numFmtId="0" fontId="0" fillId="0" borderId="0" xfId="0"/>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0" fillId="0" borderId="0" xfId="0" applyAlignment="1">
      <alignment vertical="top" wrapText="1"/>
    </xf>
    <xf numFmtId="0" fontId="3" fillId="0" borderId="0" xfId="0" applyFont="1" applyAlignment="1">
      <alignment vertical="top" wrapText="1"/>
    </xf>
    <xf numFmtId="0" fontId="0" fillId="0" borderId="0" xfId="0" applyAlignment="1">
      <alignment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center" vertical="top"/>
    </xf>
    <xf numFmtId="0" fontId="3" fillId="0" borderId="0" xfId="0" applyFont="1" applyAlignment="1">
      <alignment horizontal="center" vertical="top"/>
    </xf>
    <xf numFmtId="15" fontId="3" fillId="0" borderId="0" xfId="0" applyNumberFormat="1" applyFont="1" applyAlignment="1">
      <alignment horizontal="left" vertical="top"/>
    </xf>
    <xf numFmtId="0" fontId="3" fillId="0" borderId="0" xfId="0" applyFont="1" applyAlignment="1">
      <alignment vertical="top"/>
    </xf>
    <xf numFmtId="0" fontId="3" fillId="5" borderId="0" xfId="0" applyFont="1" applyFill="1" applyAlignment="1">
      <alignment horizontal="left" vertical="top" wrapText="1"/>
    </xf>
    <xf numFmtId="0" fontId="3" fillId="0" borderId="0" xfId="0" applyFont="1" applyAlignment="1">
      <alignment horizontal="center"/>
    </xf>
    <xf numFmtId="0" fontId="5" fillId="0" borderId="0" xfId="0" applyFont="1" applyAlignment="1">
      <alignment horizontal="left" vertical="top" wrapText="1"/>
    </xf>
    <xf numFmtId="0" fontId="5" fillId="0" borderId="0" xfId="0" applyFont="1" applyAlignment="1">
      <alignment horizontal="center"/>
    </xf>
    <xf numFmtId="0" fontId="5" fillId="0" borderId="0" xfId="0" applyFont="1" applyAlignment="1">
      <alignment horizontal="left" vertical="top"/>
    </xf>
    <xf numFmtId="0" fontId="3" fillId="0" borderId="0" xfId="0" applyFont="1" applyAlignment="1">
      <alignment vertical="center"/>
    </xf>
    <xf numFmtId="0" fontId="5" fillId="0" borderId="0" xfId="0" applyFont="1" applyAlignment="1">
      <alignment horizontal="left" vertical="center"/>
    </xf>
    <xf numFmtId="0" fontId="3" fillId="6" borderId="0" xfId="0" applyFont="1" applyFill="1" applyAlignment="1">
      <alignment horizontal="left" vertical="top" wrapText="1"/>
    </xf>
    <xf numFmtId="0" fontId="5" fillId="0" borderId="0" xfId="0" applyFont="1" applyAlignment="1">
      <alignment vertical="center"/>
    </xf>
    <xf numFmtId="0" fontId="1" fillId="0" borderId="0" xfId="0" applyFont="1" applyAlignment="1">
      <alignment horizontal="left" vertical="top" wrapText="1"/>
    </xf>
    <xf numFmtId="0" fontId="0" fillId="8" borderId="0" xfId="0" applyFill="1" applyAlignment="1">
      <alignment horizontal="left" vertical="top" wrapText="1"/>
    </xf>
    <xf numFmtId="0" fontId="9" fillId="8" borderId="0" xfId="0" applyFont="1" applyFill="1" applyAlignment="1">
      <alignment horizontal="left" vertical="top" wrapText="1"/>
    </xf>
    <xf numFmtId="0" fontId="10" fillId="8" borderId="0" xfId="0" applyFont="1" applyFill="1" applyAlignment="1">
      <alignment horizontal="left" vertical="top" wrapText="1"/>
    </xf>
    <xf numFmtId="0" fontId="3" fillId="8" borderId="0" xfId="0" applyFont="1" applyFill="1" applyAlignment="1">
      <alignment horizontal="left" vertical="top" wrapText="1"/>
    </xf>
    <xf numFmtId="0" fontId="11" fillId="8" borderId="0" xfId="0" applyFont="1" applyFill="1" applyAlignment="1">
      <alignment horizontal="left" vertical="top" wrapText="1"/>
    </xf>
    <xf numFmtId="0" fontId="6" fillId="8" borderId="0" xfId="0" applyFont="1" applyFill="1" applyAlignment="1">
      <alignment horizontal="left" vertical="top" wrapText="1"/>
    </xf>
    <xf numFmtId="0" fontId="3" fillId="9" borderId="0" xfId="0" applyFont="1" applyFill="1" applyAlignment="1">
      <alignment horizontal="left" vertical="top" wrapText="1"/>
    </xf>
    <xf numFmtId="0" fontId="3" fillId="10" borderId="0" xfId="0" applyFont="1" applyFill="1" applyAlignment="1">
      <alignment horizontal="left" vertical="top" wrapText="1"/>
    </xf>
    <xf numFmtId="0" fontId="3" fillId="11" borderId="0" xfId="0" applyFont="1" applyFill="1" applyAlignment="1">
      <alignment horizontal="left" vertical="top" wrapText="1"/>
    </xf>
    <xf numFmtId="0" fontId="3" fillId="12" borderId="0" xfId="0" applyFont="1" applyFill="1" applyAlignment="1">
      <alignment horizontal="left" vertical="top" wrapText="1"/>
    </xf>
    <xf numFmtId="0" fontId="3" fillId="7" borderId="0" xfId="0" applyFont="1" applyFill="1" applyAlignment="1">
      <alignment horizontal="left" vertical="top" wrapText="1"/>
    </xf>
    <xf numFmtId="0" fontId="4" fillId="4" borderId="1" xfId="0" applyFont="1" applyFill="1" applyBorder="1" applyAlignment="1">
      <alignment horizontal="left" vertical="top"/>
    </xf>
    <xf numFmtId="0" fontId="3" fillId="0" borderId="0" xfId="0" applyFont="1"/>
    <xf numFmtId="0" fontId="5" fillId="0" borderId="0" xfId="0" applyFont="1"/>
    <xf numFmtId="0" fontId="0" fillId="0" borderId="0" xfId="0" applyAlignment="1">
      <alignment vertical="top"/>
    </xf>
    <xf numFmtId="0" fontId="5" fillId="0" borderId="0" xfId="0" applyFont="1" applyAlignment="1">
      <alignment vertical="top"/>
    </xf>
    <xf numFmtId="0" fontId="7" fillId="0" borderId="0" xfId="0" applyFont="1"/>
    <xf numFmtId="0" fontId="4" fillId="0" borderId="0" xfId="0" applyFont="1" applyAlignment="1">
      <alignment vertical="top"/>
    </xf>
    <xf numFmtId="0" fontId="12" fillId="0" borderId="0" xfId="0" applyFont="1"/>
    <xf numFmtId="0" fontId="3" fillId="0" borderId="1" xfId="0" applyFont="1" applyBorder="1" applyAlignment="1">
      <alignment horizontal="left" vertical="top"/>
    </xf>
    <xf numFmtId="0" fontId="5" fillId="0" borderId="0" xfId="0" applyFont="1" applyAlignment="1">
      <alignment horizontal="center" vertical="top"/>
    </xf>
    <xf numFmtId="15" fontId="5" fillId="0" borderId="0" xfId="0" applyNumberFormat="1" applyFont="1" applyAlignment="1">
      <alignment horizontal="left" vertical="top"/>
    </xf>
    <xf numFmtId="0" fontId="6" fillId="0" borderId="0" xfId="0" applyFont="1" applyAlignment="1">
      <alignment horizontal="left" vertical="top" wrapText="1"/>
    </xf>
    <xf numFmtId="0" fontId="5" fillId="7" borderId="0" xfId="0" applyFont="1" applyFill="1" applyAlignment="1">
      <alignment horizontal="left" vertical="top" wrapText="1"/>
    </xf>
    <xf numFmtId="0" fontId="6" fillId="7" borderId="0" xfId="0" applyFont="1" applyFill="1" applyAlignment="1">
      <alignment horizontal="left" vertical="top" wrapText="1"/>
    </xf>
    <xf numFmtId="0" fontId="13" fillId="0" borderId="2" xfId="0" applyFont="1" applyBorder="1" applyAlignment="1">
      <alignment vertical="top" wrapText="1"/>
    </xf>
    <xf numFmtId="0" fontId="14" fillId="13" borderId="4" xfId="0" applyFont="1" applyFill="1" applyBorder="1" applyAlignment="1">
      <alignment vertical="top" wrapText="1"/>
    </xf>
    <xf numFmtId="0" fontId="0" fillId="0" borderId="4" xfId="0" applyBorder="1" applyAlignment="1">
      <alignment vertical="top" wrapText="1"/>
    </xf>
    <xf numFmtId="164" fontId="0" fillId="0" borderId="4" xfId="0" applyNumberFormat="1" applyBorder="1" applyAlignment="1">
      <alignment vertical="top" wrapText="1"/>
    </xf>
    <xf numFmtId="0" fontId="14" fillId="13" borderId="4" xfId="0" applyFont="1" applyFill="1"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vertical="top"/>
    </xf>
    <xf numFmtId="0" fontId="0" fillId="0" borderId="1" xfId="0" applyBorder="1" applyAlignment="1">
      <alignment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xf numFmtId="0" fontId="3" fillId="0" borderId="0" xfId="0" applyFont="1" applyAlignment="1">
      <alignment vertical="top"/>
    </xf>
    <xf numFmtId="0" fontId="3" fillId="0" borderId="0" xfId="0" applyFont="1" applyAlignment="1">
      <alignment horizontal="left" vertical="center"/>
    </xf>
    <xf numFmtId="0" fontId="3" fillId="0" borderId="0" xfId="0" applyFont="1" applyAlignment="1">
      <alignment horizontal="center" vertical="top"/>
    </xf>
    <xf numFmtId="0" fontId="3" fillId="0" borderId="0" xfId="0" applyFont="1" applyAlignment="1">
      <alignment horizontal="left" vertical="top"/>
    </xf>
    <xf numFmtId="15" fontId="3" fillId="0" borderId="0" xfId="0" applyNumberFormat="1" applyFont="1" applyAlignment="1">
      <alignment horizontal="left" vertical="top"/>
    </xf>
    <xf numFmtId="0" fontId="3" fillId="0" borderId="3" xfId="0" applyFont="1" applyBorder="1" applyAlignment="1">
      <alignment horizontal="left" vertical="top"/>
    </xf>
    <xf numFmtId="0" fontId="3" fillId="0" borderId="0" xfId="0" applyFont="1" applyAlignment="1">
      <alignment horizontal="left" vertical="top" wrapText="1"/>
    </xf>
    <xf numFmtId="0" fontId="3" fillId="0" borderId="0" xfId="0" applyFont="1" applyAlignment="1">
      <alignment horizontal="center"/>
    </xf>
    <xf numFmtId="0" fontId="5" fillId="0" borderId="0" xfId="0" applyFont="1" applyAlignment="1">
      <alignment horizontal="left" vertical="top"/>
    </xf>
    <xf numFmtId="15" fontId="5" fillId="0" borderId="0" xfId="0" applyNumberFormat="1" applyFont="1" applyAlignment="1">
      <alignment horizontal="left" vertical="top"/>
    </xf>
    <xf numFmtId="0" fontId="5" fillId="0" borderId="0" xfId="0" applyFont="1" applyAlignment="1">
      <alignment horizontal="left" vertical="center"/>
    </xf>
    <xf numFmtId="0" fontId="5" fillId="0" borderId="0" xfId="0" applyFont="1"/>
    <xf numFmtId="0" fontId="5"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center"/>
    </xf>
    <xf numFmtId="0" fontId="5" fillId="0" borderId="0" xfId="0" applyFont="1" applyAlignment="1">
      <alignment horizontal="left" vertical="top" wrapText="1"/>
    </xf>
    <xf numFmtId="0" fontId="8" fillId="0" borderId="0" xfId="0" applyFont="1"/>
    <xf numFmtId="0" fontId="3"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top"/>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4" xfId="0" applyFont="1" applyBorder="1" applyAlignment="1">
      <alignment vertical="top" wrapText="1"/>
    </xf>
  </cellXfs>
  <cellStyles count="1">
    <cellStyle name="Normal" xfId="0" builtinId="0"/>
  </cellStyles>
  <dxfs count="6">
    <dxf>
      <fill>
        <patternFill patternType="solid">
          <fgColor indexed="64"/>
          <bgColor rgb="FFE4DFEC"/>
        </patternFill>
      </fill>
    </dxf>
    <dxf>
      <fill>
        <patternFill patternType="solid">
          <fgColor indexed="64"/>
          <bgColor rgb="FFF8CBAD"/>
        </patternFill>
      </fill>
    </dxf>
    <dxf>
      <fill>
        <patternFill patternType="solid">
          <fgColor indexed="64"/>
          <bgColor rgb="FFFCE4D6"/>
        </patternFill>
      </fill>
    </dxf>
    <dxf>
      <fill>
        <patternFill patternType="solid">
          <fgColor indexed="64"/>
          <bgColor rgb="FFFFE699"/>
        </patternFill>
      </fill>
    </dxf>
    <dxf>
      <fill>
        <patternFill patternType="solid">
          <fgColor indexed="64"/>
          <bgColor rgb="FFBDD7EE"/>
        </patternFill>
      </fill>
    </dxf>
    <dxf>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8BEA-4422-41D8-B599-AD7035F3472A}">
  <dimension ref="A1:Q236"/>
  <sheetViews>
    <sheetView topLeftCell="G1" workbookViewId="0">
      <selection activeCell="I13" sqref="I13"/>
    </sheetView>
  </sheetViews>
  <sheetFormatPr defaultRowHeight="14.25" x14ac:dyDescent="0.45"/>
  <cols>
    <col min="1" max="1" width="9.06640625" style="41"/>
    <col min="2" max="2" width="23.86328125" style="41" customWidth="1"/>
    <col min="3" max="4" width="9.06640625" style="41"/>
    <col min="5" max="5" width="12.265625" style="41" customWidth="1"/>
    <col min="6" max="6" width="64.6640625" style="7" customWidth="1"/>
    <col min="7" max="7" width="14.796875" style="41" customWidth="1"/>
    <col min="8" max="9" width="14.796875" customWidth="1"/>
    <col min="10" max="13" width="0" hidden="1" customWidth="1"/>
    <col min="15" max="15" width="41.3984375" customWidth="1"/>
  </cols>
  <sheetData>
    <row r="1" spans="1:17" x14ac:dyDescent="0.45">
      <c r="A1" s="1" t="s">
        <v>0</v>
      </c>
      <c r="B1" s="1" t="s">
        <v>1</v>
      </c>
      <c r="C1" s="1" t="s">
        <v>2</v>
      </c>
      <c r="D1" s="1" t="s">
        <v>3</v>
      </c>
      <c r="E1" s="1" t="s">
        <v>4</v>
      </c>
      <c r="F1" s="2" t="s">
        <v>5</v>
      </c>
      <c r="G1" s="1" t="s">
        <v>6</v>
      </c>
      <c r="H1" s="1" t="s">
        <v>7</v>
      </c>
      <c r="I1" s="1" t="s">
        <v>8</v>
      </c>
      <c r="J1" s="3" t="s">
        <v>9</v>
      </c>
      <c r="K1" s="3" t="s">
        <v>10</v>
      </c>
      <c r="L1" s="3" t="s">
        <v>11</v>
      </c>
      <c r="M1" s="3" t="s">
        <v>12</v>
      </c>
      <c r="N1" s="38" t="s">
        <v>13</v>
      </c>
      <c r="O1" s="38" t="s">
        <v>14</v>
      </c>
      <c r="P1" s="38" t="s">
        <v>15</v>
      </c>
      <c r="Q1" s="38" t="s">
        <v>16</v>
      </c>
    </row>
    <row r="2" spans="1:17" x14ac:dyDescent="0.45">
      <c r="A2" s="14">
        <v>1</v>
      </c>
      <c r="B2" s="12" t="s">
        <v>17</v>
      </c>
      <c r="C2" s="46" t="s">
        <v>18</v>
      </c>
      <c r="D2" s="12" t="s">
        <v>19</v>
      </c>
      <c r="E2" s="12" t="s">
        <v>20</v>
      </c>
      <c r="F2" s="11" t="s">
        <v>21</v>
      </c>
      <c r="G2" s="15">
        <v>46097</v>
      </c>
      <c r="H2" s="6" t="s">
        <v>22</v>
      </c>
      <c r="I2" s="6" t="s">
        <v>23</v>
      </c>
      <c r="J2" s="6" t="s">
        <v>20</v>
      </c>
      <c r="K2" s="6" t="s">
        <v>24</v>
      </c>
      <c r="L2" s="6"/>
      <c r="M2" s="16" t="s">
        <v>25</v>
      </c>
      <c r="N2" s="6"/>
      <c r="O2" s="39" t="s">
        <v>26</v>
      </c>
      <c r="P2" s="6"/>
      <c r="Q2" s="6" t="s">
        <v>27</v>
      </c>
    </row>
    <row r="3" spans="1:17" ht="28.5" x14ac:dyDescent="0.45">
      <c r="A3" s="68">
        <v>2</v>
      </c>
      <c r="B3" s="69" t="s">
        <v>28</v>
      </c>
      <c r="C3" s="71" t="s">
        <v>29</v>
      </c>
      <c r="D3" s="69" t="s">
        <v>19</v>
      </c>
      <c r="E3" s="69" t="s">
        <v>20</v>
      </c>
      <c r="F3" s="11" t="s">
        <v>30</v>
      </c>
      <c r="G3" s="70">
        <v>46097</v>
      </c>
      <c r="H3" s="68" t="s">
        <v>22</v>
      </c>
      <c r="I3" s="69" t="s">
        <v>23</v>
      </c>
      <c r="J3" s="69" t="s">
        <v>20</v>
      </c>
      <c r="K3" s="69" t="s">
        <v>24</v>
      </c>
      <c r="L3" s="65"/>
      <c r="M3" s="66" t="s">
        <v>32</v>
      </c>
      <c r="N3" s="65"/>
      <c r="O3" s="66" t="s">
        <v>26</v>
      </c>
      <c r="P3" s="65"/>
      <c r="Q3" s="67" t="s">
        <v>27</v>
      </c>
    </row>
    <row r="4" spans="1:17" x14ac:dyDescent="0.45">
      <c r="A4" s="68"/>
      <c r="B4" s="69"/>
      <c r="C4" s="69"/>
      <c r="D4" s="69"/>
      <c r="E4" s="69"/>
      <c r="F4" s="11" t="s">
        <v>31</v>
      </c>
      <c r="G4" s="70"/>
      <c r="H4" s="68"/>
      <c r="I4" s="69"/>
      <c r="J4" s="69"/>
      <c r="K4" s="69"/>
      <c r="L4" s="65"/>
      <c r="M4" s="66"/>
      <c r="N4" s="65"/>
      <c r="O4" s="66"/>
      <c r="P4" s="65"/>
      <c r="Q4" s="67"/>
    </row>
    <row r="5" spans="1:17" x14ac:dyDescent="0.45">
      <c r="A5" s="14">
        <v>3</v>
      </c>
      <c r="B5" s="12" t="s">
        <v>33</v>
      </c>
      <c r="C5" s="12" t="s">
        <v>18</v>
      </c>
      <c r="D5" s="12" t="s">
        <v>19</v>
      </c>
      <c r="E5" s="12" t="s">
        <v>20</v>
      </c>
      <c r="F5" s="11" t="s">
        <v>34</v>
      </c>
      <c r="G5" s="15">
        <v>46097</v>
      </c>
      <c r="H5" s="14" t="s">
        <v>22</v>
      </c>
      <c r="I5" s="12" t="s">
        <v>23</v>
      </c>
      <c r="J5" s="12" t="s">
        <v>20</v>
      </c>
      <c r="K5" s="12" t="s">
        <v>24</v>
      </c>
      <c r="L5" s="16"/>
      <c r="M5" s="16" t="s">
        <v>25</v>
      </c>
      <c r="N5" s="16"/>
      <c r="O5" s="16" t="s">
        <v>26</v>
      </c>
      <c r="P5" s="12"/>
      <c r="Q5" s="6" t="s">
        <v>27</v>
      </c>
    </row>
    <row r="6" spans="1:17" ht="42.75" x14ac:dyDescent="0.45">
      <c r="A6" s="14">
        <v>4</v>
      </c>
      <c r="B6" s="12" t="s">
        <v>35</v>
      </c>
      <c r="C6" s="12" t="s">
        <v>18</v>
      </c>
      <c r="D6" s="12" t="s">
        <v>19</v>
      </c>
      <c r="E6" s="12" t="s">
        <v>20</v>
      </c>
      <c r="F6" s="11" t="s">
        <v>36</v>
      </c>
      <c r="G6" s="15">
        <v>46097</v>
      </c>
      <c r="H6" s="14" t="s">
        <v>22</v>
      </c>
      <c r="I6" s="12" t="s">
        <v>23</v>
      </c>
      <c r="J6" s="12" t="s">
        <v>37</v>
      </c>
      <c r="K6" s="12"/>
      <c r="L6" s="39"/>
      <c r="M6" s="39" t="s">
        <v>38</v>
      </c>
      <c r="N6" s="39"/>
      <c r="O6" s="39" t="s">
        <v>39</v>
      </c>
      <c r="P6" s="39"/>
      <c r="Q6" s="6" t="s">
        <v>27</v>
      </c>
    </row>
    <row r="7" spans="1:17" x14ac:dyDescent="0.45">
      <c r="A7" s="14">
        <v>5</v>
      </c>
      <c r="B7" s="12" t="s">
        <v>40</v>
      </c>
      <c r="C7" s="12" t="s">
        <v>18</v>
      </c>
      <c r="D7" s="12" t="s">
        <v>19</v>
      </c>
      <c r="E7" s="12" t="s">
        <v>20</v>
      </c>
      <c r="F7" s="11" t="s">
        <v>41</v>
      </c>
      <c r="G7" s="15">
        <v>46097</v>
      </c>
      <c r="H7" s="14" t="s">
        <v>42</v>
      </c>
      <c r="I7" s="12" t="s">
        <v>23</v>
      </c>
      <c r="J7" s="12" t="s">
        <v>20</v>
      </c>
      <c r="K7" s="12" t="s">
        <v>43</v>
      </c>
      <c r="L7" s="39"/>
      <c r="M7" s="16" t="s">
        <v>27</v>
      </c>
      <c r="N7" s="39"/>
      <c r="O7" s="39" t="s">
        <v>44</v>
      </c>
      <c r="P7" s="39"/>
      <c r="Q7" s="39" t="s">
        <v>45</v>
      </c>
    </row>
    <row r="8" spans="1:17" x14ac:dyDescent="0.45">
      <c r="A8" s="14">
        <v>6</v>
      </c>
      <c r="B8" s="12" t="s">
        <v>40</v>
      </c>
      <c r="C8" s="12" t="s">
        <v>18</v>
      </c>
      <c r="D8" s="12" t="s">
        <v>19</v>
      </c>
      <c r="E8" s="12" t="s">
        <v>20</v>
      </c>
      <c r="F8" s="11" t="s">
        <v>46</v>
      </c>
      <c r="G8" s="15">
        <v>46097</v>
      </c>
      <c r="H8" s="14" t="s">
        <v>42</v>
      </c>
      <c r="I8" s="12" t="s">
        <v>23</v>
      </c>
      <c r="J8" s="12" t="s">
        <v>37</v>
      </c>
      <c r="K8" s="12"/>
      <c r="L8" s="39"/>
      <c r="M8" s="16" t="s">
        <v>47</v>
      </c>
      <c r="N8" s="39"/>
      <c r="O8" s="39" t="s">
        <v>48</v>
      </c>
      <c r="P8" s="39"/>
      <c r="Q8" s="39" t="s">
        <v>27</v>
      </c>
    </row>
    <row r="9" spans="1:17" x14ac:dyDescent="0.45">
      <c r="A9" s="14">
        <v>7</v>
      </c>
      <c r="B9" s="16" t="s">
        <v>49</v>
      </c>
      <c r="C9" s="16" t="s">
        <v>29</v>
      </c>
      <c r="D9" s="16" t="s">
        <v>50</v>
      </c>
      <c r="E9" s="16" t="s">
        <v>20</v>
      </c>
      <c r="F9" s="17" t="s">
        <v>51</v>
      </c>
      <c r="G9" s="15">
        <v>46098</v>
      </c>
      <c r="H9" s="18" t="s">
        <v>22</v>
      </c>
      <c r="I9" s="12" t="s">
        <v>23</v>
      </c>
      <c r="J9" s="12" t="s">
        <v>20</v>
      </c>
      <c r="K9" s="12" t="s">
        <v>24</v>
      </c>
      <c r="L9" s="39"/>
      <c r="M9" s="16" t="s">
        <v>52</v>
      </c>
      <c r="N9" s="12"/>
      <c r="O9" s="39" t="s">
        <v>53</v>
      </c>
      <c r="P9" s="39"/>
      <c r="Q9" s="39" t="s">
        <v>54</v>
      </c>
    </row>
    <row r="10" spans="1:17" x14ac:dyDescent="0.45">
      <c r="A10" s="14">
        <v>8</v>
      </c>
      <c r="B10" s="16" t="s">
        <v>49</v>
      </c>
      <c r="C10" s="16" t="s">
        <v>18</v>
      </c>
      <c r="D10" s="16" t="s">
        <v>19</v>
      </c>
      <c r="E10" s="16" t="s">
        <v>20</v>
      </c>
      <c r="F10" s="11" t="s">
        <v>55</v>
      </c>
      <c r="G10" s="15">
        <v>46098</v>
      </c>
      <c r="H10" s="18" t="s">
        <v>22</v>
      </c>
      <c r="I10" s="12" t="s">
        <v>23</v>
      </c>
      <c r="J10" s="12" t="s">
        <v>37</v>
      </c>
      <c r="K10" s="12"/>
      <c r="L10" s="39"/>
      <c r="M10" s="16"/>
      <c r="N10" s="12"/>
      <c r="O10" s="39" t="s">
        <v>56</v>
      </c>
      <c r="P10" s="39"/>
      <c r="Q10" s="39" t="s">
        <v>54</v>
      </c>
    </row>
    <row r="11" spans="1:17" x14ac:dyDescent="0.45">
      <c r="A11" s="47">
        <v>9</v>
      </c>
      <c r="B11" s="42" t="s">
        <v>49</v>
      </c>
      <c r="C11" s="42" t="s">
        <v>18</v>
      </c>
      <c r="D11" s="42" t="s">
        <v>19</v>
      </c>
      <c r="E11" s="42" t="s">
        <v>57</v>
      </c>
      <c r="F11" s="19" t="s">
        <v>58</v>
      </c>
      <c r="G11" s="48">
        <v>46098</v>
      </c>
      <c r="H11" s="20" t="s">
        <v>22</v>
      </c>
      <c r="I11" s="21" t="s">
        <v>23</v>
      </c>
      <c r="J11" s="21" t="s">
        <v>37</v>
      </c>
      <c r="K11" s="12"/>
      <c r="L11" s="39"/>
      <c r="M11" s="16"/>
      <c r="N11" s="12"/>
      <c r="O11" s="40" t="s">
        <v>59</v>
      </c>
      <c r="P11" s="39"/>
      <c r="Q11" s="39" t="s">
        <v>60</v>
      </c>
    </row>
    <row r="12" spans="1:17" ht="42.75" x14ac:dyDescent="0.45">
      <c r="A12" s="14">
        <v>10</v>
      </c>
      <c r="B12" s="16" t="s">
        <v>61</v>
      </c>
      <c r="C12" s="16" t="s">
        <v>18</v>
      </c>
      <c r="D12" s="16" t="s">
        <v>19</v>
      </c>
      <c r="E12" s="16" t="s">
        <v>37</v>
      </c>
      <c r="F12" s="11" t="s">
        <v>62</v>
      </c>
      <c r="G12" s="15">
        <v>46098</v>
      </c>
      <c r="H12" s="6" t="s">
        <v>22</v>
      </c>
      <c r="I12" s="22" t="s">
        <v>23</v>
      </c>
      <c r="J12" s="22" t="s">
        <v>20</v>
      </c>
      <c r="K12" s="22" t="s">
        <v>24</v>
      </c>
      <c r="L12" s="39"/>
      <c r="M12" s="16" t="s">
        <v>27</v>
      </c>
      <c r="N12" s="12"/>
      <c r="O12" s="39" t="s">
        <v>63</v>
      </c>
      <c r="P12" s="39"/>
      <c r="Q12" s="39" t="s">
        <v>27</v>
      </c>
    </row>
    <row r="13" spans="1:17" x14ac:dyDescent="0.45">
      <c r="A13" s="14">
        <v>11</v>
      </c>
      <c r="B13" s="16" t="s">
        <v>64</v>
      </c>
      <c r="C13" s="16" t="s">
        <v>29</v>
      </c>
      <c r="D13" s="16" t="s">
        <v>50</v>
      </c>
      <c r="E13" s="16" t="s">
        <v>37</v>
      </c>
      <c r="F13" s="11" t="s">
        <v>65</v>
      </c>
      <c r="G13" s="15">
        <v>46098</v>
      </c>
      <c r="H13" s="18" t="s">
        <v>22</v>
      </c>
      <c r="I13" s="12" t="s">
        <v>23</v>
      </c>
      <c r="J13" s="12" t="s">
        <v>66</v>
      </c>
      <c r="K13" s="12"/>
      <c r="L13" s="39"/>
      <c r="M13" s="16" t="s">
        <v>67</v>
      </c>
      <c r="N13" s="12"/>
      <c r="O13" s="39" t="s">
        <v>68</v>
      </c>
      <c r="P13" s="39"/>
      <c r="Q13" s="39" t="s">
        <v>27</v>
      </c>
    </row>
    <row r="14" spans="1:17" ht="28.5" x14ac:dyDescent="0.45">
      <c r="A14" s="14">
        <v>12</v>
      </c>
      <c r="B14" s="16" t="s">
        <v>69</v>
      </c>
      <c r="C14" s="16" t="s">
        <v>18</v>
      </c>
      <c r="D14" s="16" t="s">
        <v>19</v>
      </c>
      <c r="E14" s="16" t="s">
        <v>37</v>
      </c>
      <c r="F14" s="11" t="s">
        <v>70</v>
      </c>
      <c r="G14" s="15">
        <v>46098</v>
      </c>
      <c r="H14" s="18" t="s">
        <v>71</v>
      </c>
      <c r="I14" s="12" t="s">
        <v>23</v>
      </c>
      <c r="J14" s="12" t="s">
        <v>37</v>
      </c>
      <c r="K14" s="12"/>
      <c r="L14" s="39"/>
      <c r="M14" s="16" t="s">
        <v>72</v>
      </c>
      <c r="N14" s="12"/>
      <c r="O14" s="39" t="s">
        <v>73</v>
      </c>
      <c r="P14" s="39"/>
      <c r="Q14" s="39" t="s">
        <v>27</v>
      </c>
    </row>
    <row r="15" spans="1:17" x14ac:dyDescent="0.45">
      <c r="A15" s="68">
        <v>13</v>
      </c>
      <c r="B15" s="69" t="s">
        <v>74</v>
      </c>
      <c r="C15" s="69" t="s">
        <v>18</v>
      </c>
      <c r="D15" s="69" t="s">
        <v>19</v>
      </c>
      <c r="E15" s="69" t="s">
        <v>20</v>
      </c>
      <c r="F15" s="11" t="s">
        <v>75</v>
      </c>
      <c r="G15" s="70">
        <v>46097</v>
      </c>
      <c r="H15" s="68" t="s">
        <v>42</v>
      </c>
      <c r="I15" s="69" t="s">
        <v>23</v>
      </c>
      <c r="J15" s="69" t="s">
        <v>37</v>
      </c>
      <c r="K15" s="69"/>
      <c r="L15" s="65"/>
      <c r="M15" s="69" t="s">
        <v>78</v>
      </c>
      <c r="N15" s="65"/>
      <c r="O15" s="65" t="s">
        <v>68</v>
      </c>
      <c r="P15" s="65"/>
      <c r="Q15" s="65" t="s">
        <v>27</v>
      </c>
    </row>
    <row r="16" spans="1:17" ht="28.5" x14ac:dyDescent="0.45">
      <c r="A16" s="68"/>
      <c r="B16" s="69"/>
      <c r="C16" s="69"/>
      <c r="D16" s="69"/>
      <c r="E16" s="69"/>
      <c r="F16" s="11" t="s">
        <v>76</v>
      </c>
      <c r="G16" s="70"/>
      <c r="H16" s="68"/>
      <c r="I16" s="69"/>
      <c r="J16" s="69"/>
      <c r="K16" s="69"/>
      <c r="L16" s="65"/>
      <c r="M16" s="69"/>
      <c r="N16" s="65"/>
      <c r="O16" s="65"/>
      <c r="P16" s="65"/>
      <c r="Q16" s="65"/>
    </row>
    <row r="17" spans="1:17" x14ac:dyDescent="0.45">
      <c r="A17" s="68"/>
      <c r="B17" s="69"/>
      <c r="C17" s="69"/>
      <c r="D17" s="69"/>
      <c r="E17" s="69"/>
      <c r="F17" s="11" t="s">
        <v>77</v>
      </c>
      <c r="G17" s="70"/>
      <c r="H17" s="68"/>
      <c r="I17" s="69"/>
      <c r="J17" s="69"/>
      <c r="K17" s="69"/>
      <c r="L17" s="65"/>
      <c r="M17" s="69"/>
      <c r="N17" s="65"/>
      <c r="O17" s="65"/>
      <c r="P17" s="65"/>
      <c r="Q17" s="65"/>
    </row>
    <row r="18" spans="1:17" x14ac:dyDescent="0.45">
      <c r="A18" s="68">
        <v>14</v>
      </c>
      <c r="B18" s="69" t="s">
        <v>74</v>
      </c>
      <c r="C18" s="69" t="s">
        <v>18</v>
      </c>
      <c r="D18" s="69" t="s">
        <v>19</v>
      </c>
      <c r="E18" s="69" t="s">
        <v>20</v>
      </c>
      <c r="F18" s="19" t="s">
        <v>75</v>
      </c>
      <c r="G18" s="70">
        <v>46097</v>
      </c>
      <c r="H18" s="68" t="s">
        <v>42</v>
      </c>
      <c r="I18" s="69" t="s">
        <v>23</v>
      </c>
      <c r="J18" s="69" t="s">
        <v>37</v>
      </c>
      <c r="K18" s="69"/>
      <c r="L18" s="65"/>
      <c r="M18" s="69" t="s">
        <v>78</v>
      </c>
      <c r="N18" s="69"/>
      <c r="O18" s="65" t="s">
        <v>80</v>
      </c>
      <c r="P18" s="65"/>
      <c r="Q18" s="65" t="s">
        <v>54</v>
      </c>
    </row>
    <row r="19" spans="1:17" ht="28.5" x14ac:dyDescent="0.45">
      <c r="A19" s="68"/>
      <c r="B19" s="69"/>
      <c r="C19" s="69"/>
      <c r="D19" s="69"/>
      <c r="E19" s="69"/>
      <c r="F19" s="19" t="s">
        <v>79</v>
      </c>
      <c r="G19" s="70"/>
      <c r="H19" s="68"/>
      <c r="I19" s="69"/>
      <c r="J19" s="69"/>
      <c r="K19" s="69"/>
      <c r="L19" s="65"/>
      <c r="M19" s="69"/>
      <c r="N19" s="69"/>
      <c r="O19" s="65"/>
      <c r="P19" s="65"/>
      <c r="Q19" s="65"/>
    </row>
    <row r="20" spans="1:17" x14ac:dyDescent="0.45">
      <c r="A20" s="68"/>
      <c r="B20" s="69"/>
      <c r="C20" s="69"/>
      <c r="D20" s="69"/>
      <c r="E20" s="69"/>
      <c r="F20" s="11" t="s">
        <v>77</v>
      </c>
      <c r="G20" s="70"/>
      <c r="H20" s="68"/>
      <c r="I20" s="69"/>
      <c r="J20" s="69"/>
      <c r="K20" s="69"/>
      <c r="L20" s="65"/>
      <c r="M20" s="69"/>
      <c r="N20" s="69"/>
      <c r="O20" s="65"/>
      <c r="P20" s="65"/>
      <c r="Q20" s="65"/>
    </row>
    <row r="21" spans="1:17" ht="28.5" x14ac:dyDescent="0.45">
      <c r="A21" s="14">
        <v>15</v>
      </c>
      <c r="B21" s="16" t="s">
        <v>81</v>
      </c>
      <c r="C21" s="16" t="s">
        <v>18</v>
      </c>
      <c r="D21" s="16" t="s">
        <v>19</v>
      </c>
      <c r="E21" s="16" t="s">
        <v>20</v>
      </c>
      <c r="F21" s="11" t="s">
        <v>82</v>
      </c>
      <c r="G21" s="15">
        <v>46098</v>
      </c>
      <c r="H21" s="18" t="s">
        <v>22</v>
      </c>
      <c r="I21" s="12" t="s">
        <v>23</v>
      </c>
      <c r="J21" s="12" t="s">
        <v>20</v>
      </c>
      <c r="K21" s="12" t="s">
        <v>83</v>
      </c>
      <c r="L21" s="39"/>
      <c r="M21" s="16" t="s">
        <v>84</v>
      </c>
      <c r="N21" s="12"/>
      <c r="O21" s="39" t="s">
        <v>85</v>
      </c>
      <c r="P21" s="39"/>
      <c r="Q21" s="39" t="s">
        <v>54</v>
      </c>
    </row>
    <row r="22" spans="1:17" ht="28.5" x14ac:dyDescent="0.45">
      <c r="A22" s="12">
        <v>16</v>
      </c>
      <c r="B22" s="12" t="s">
        <v>86</v>
      </c>
      <c r="C22" s="12" t="s">
        <v>29</v>
      </c>
      <c r="D22" s="12" t="s">
        <v>50</v>
      </c>
      <c r="E22" s="12" t="s">
        <v>37</v>
      </c>
      <c r="F22" s="11" t="s">
        <v>87</v>
      </c>
      <c r="G22" s="15">
        <v>46098</v>
      </c>
      <c r="H22" s="6" t="s">
        <v>22</v>
      </c>
      <c r="I22" s="6" t="s">
        <v>88</v>
      </c>
      <c r="J22" s="6" t="s">
        <v>66</v>
      </c>
      <c r="K22" s="6"/>
      <c r="L22" s="39"/>
      <c r="M22" s="16" t="s">
        <v>89</v>
      </c>
      <c r="N22" s="12"/>
      <c r="O22" s="39" t="s">
        <v>68</v>
      </c>
      <c r="P22" s="39"/>
      <c r="Q22" s="39" t="s">
        <v>27</v>
      </c>
    </row>
    <row r="23" spans="1:17" ht="28.5" x14ac:dyDescent="0.45">
      <c r="A23" s="14">
        <v>17</v>
      </c>
      <c r="B23" s="16" t="s">
        <v>18</v>
      </c>
      <c r="C23" s="16" t="s">
        <v>18</v>
      </c>
      <c r="D23" s="16" t="s">
        <v>19</v>
      </c>
      <c r="E23" s="16" t="s">
        <v>20</v>
      </c>
      <c r="F23" s="11" t="s">
        <v>90</v>
      </c>
      <c r="G23" s="15">
        <v>46098</v>
      </c>
      <c r="H23" s="18" t="s">
        <v>22</v>
      </c>
      <c r="I23" s="12" t="s">
        <v>23</v>
      </c>
      <c r="J23" s="12" t="s">
        <v>20</v>
      </c>
      <c r="K23" s="12" t="s">
        <v>24</v>
      </c>
      <c r="L23" s="39"/>
      <c r="M23" s="16" t="s">
        <v>91</v>
      </c>
      <c r="N23" s="12"/>
      <c r="O23" s="39" t="s">
        <v>80</v>
      </c>
      <c r="P23" s="39"/>
      <c r="Q23" s="39" t="s">
        <v>54</v>
      </c>
    </row>
    <row r="24" spans="1:17" x14ac:dyDescent="0.45">
      <c r="A24" s="12">
        <v>18</v>
      </c>
      <c r="B24" s="12" t="s">
        <v>18</v>
      </c>
      <c r="C24" s="12" t="s">
        <v>18</v>
      </c>
      <c r="D24" s="12" t="s">
        <v>50</v>
      </c>
      <c r="E24" s="12" t="s">
        <v>37</v>
      </c>
      <c r="F24" s="11" t="s">
        <v>92</v>
      </c>
      <c r="G24" s="15">
        <v>46098</v>
      </c>
      <c r="H24" s="6" t="s">
        <v>22</v>
      </c>
      <c r="I24" s="6" t="s">
        <v>23</v>
      </c>
      <c r="J24" s="12" t="s">
        <v>66</v>
      </c>
      <c r="K24" s="6"/>
      <c r="L24" s="39"/>
      <c r="M24" s="16" t="s">
        <v>93</v>
      </c>
      <c r="N24" s="12"/>
      <c r="O24" s="39" t="s">
        <v>68</v>
      </c>
      <c r="P24" s="39"/>
      <c r="Q24" s="39" t="s">
        <v>27</v>
      </c>
    </row>
    <row r="25" spans="1:17" ht="57" x14ac:dyDescent="0.45">
      <c r="A25" s="68">
        <v>19</v>
      </c>
      <c r="B25" s="69" t="s">
        <v>28</v>
      </c>
      <c r="C25" s="66" t="s">
        <v>18</v>
      </c>
      <c r="D25" s="66" t="s">
        <v>19</v>
      </c>
      <c r="E25" s="66" t="s">
        <v>20</v>
      </c>
      <c r="F25" s="11" t="s">
        <v>94</v>
      </c>
      <c r="G25" s="70">
        <v>46098</v>
      </c>
      <c r="H25" s="73" t="s">
        <v>71</v>
      </c>
      <c r="I25" s="69" t="s">
        <v>23</v>
      </c>
      <c r="J25" s="69" t="s">
        <v>20</v>
      </c>
      <c r="K25" s="69" t="s">
        <v>24</v>
      </c>
      <c r="L25" s="65"/>
      <c r="M25" s="66" t="s">
        <v>96</v>
      </c>
      <c r="N25" s="69"/>
      <c r="O25" s="65" t="s">
        <v>85</v>
      </c>
      <c r="P25" s="65"/>
      <c r="Q25" s="65" t="s">
        <v>54</v>
      </c>
    </row>
    <row r="26" spans="1:17" x14ac:dyDescent="0.45">
      <c r="A26" s="68"/>
      <c r="B26" s="69"/>
      <c r="C26" s="66"/>
      <c r="D26" s="66"/>
      <c r="E26" s="66"/>
      <c r="F26" s="11" t="s">
        <v>95</v>
      </c>
      <c r="G26" s="70"/>
      <c r="H26" s="73"/>
      <c r="I26" s="69"/>
      <c r="J26" s="69"/>
      <c r="K26" s="69"/>
      <c r="L26" s="65"/>
      <c r="M26" s="66"/>
      <c r="N26" s="69"/>
      <c r="O26" s="65"/>
      <c r="P26" s="65"/>
      <c r="Q26" s="65"/>
    </row>
    <row r="27" spans="1:17" x14ac:dyDescent="0.45">
      <c r="A27" s="14">
        <v>20</v>
      </c>
      <c r="B27" s="16" t="s">
        <v>35</v>
      </c>
      <c r="C27" s="16" t="s">
        <v>18</v>
      </c>
      <c r="D27" s="16" t="s">
        <v>19</v>
      </c>
      <c r="E27" s="16" t="s">
        <v>20</v>
      </c>
      <c r="F27" s="11" t="s">
        <v>97</v>
      </c>
      <c r="G27" s="15">
        <v>46098</v>
      </c>
      <c r="H27" s="18" t="s">
        <v>22</v>
      </c>
      <c r="I27" s="12" t="s">
        <v>23</v>
      </c>
      <c r="J27" s="12" t="s">
        <v>20</v>
      </c>
      <c r="K27" s="12" t="s">
        <v>24</v>
      </c>
      <c r="L27" s="39"/>
      <c r="M27" s="16" t="s">
        <v>96</v>
      </c>
      <c r="N27" s="12"/>
      <c r="O27" s="39" t="s">
        <v>63</v>
      </c>
      <c r="P27" s="39"/>
      <c r="Q27" s="39" t="s">
        <v>27</v>
      </c>
    </row>
    <row r="28" spans="1:17" x14ac:dyDescent="0.45">
      <c r="A28" s="14">
        <v>21</v>
      </c>
      <c r="B28" s="16" t="s">
        <v>40</v>
      </c>
      <c r="C28" s="16" t="s">
        <v>18</v>
      </c>
      <c r="D28" s="16" t="s">
        <v>19</v>
      </c>
      <c r="E28" s="16" t="s">
        <v>20</v>
      </c>
      <c r="F28" s="11" t="s">
        <v>98</v>
      </c>
      <c r="G28" s="15">
        <v>46098</v>
      </c>
      <c r="H28" s="18" t="s">
        <v>22</v>
      </c>
      <c r="I28" s="12" t="s">
        <v>23</v>
      </c>
      <c r="J28" s="12" t="s">
        <v>20</v>
      </c>
      <c r="K28" s="12" t="s">
        <v>24</v>
      </c>
      <c r="L28" s="39"/>
      <c r="M28" s="16" t="s">
        <v>99</v>
      </c>
      <c r="N28" s="12"/>
      <c r="O28" s="39" t="s">
        <v>60</v>
      </c>
      <c r="P28" s="39"/>
      <c r="Q28" s="39" t="s">
        <v>60</v>
      </c>
    </row>
    <row r="29" spans="1:17" ht="42.75" x14ac:dyDescent="0.45">
      <c r="A29" s="14">
        <v>22</v>
      </c>
      <c r="B29" s="16" t="s">
        <v>100</v>
      </c>
      <c r="C29" s="16" t="s">
        <v>18</v>
      </c>
      <c r="D29" s="16" t="s">
        <v>19</v>
      </c>
      <c r="E29" s="16" t="s">
        <v>20</v>
      </c>
      <c r="F29" s="11" t="s">
        <v>101</v>
      </c>
      <c r="G29" s="15">
        <v>46098</v>
      </c>
      <c r="H29" s="18" t="s">
        <v>22</v>
      </c>
      <c r="I29" s="12" t="s">
        <v>23</v>
      </c>
      <c r="J29" s="12" t="s">
        <v>37</v>
      </c>
      <c r="K29" s="12"/>
      <c r="L29" s="39"/>
      <c r="M29" s="16" t="s">
        <v>47</v>
      </c>
      <c r="N29" s="12"/>
      <c r="O29" s="39" t="s">
        <v>102</v>
      </c>
      <c r="P29" s="39"/>
      <c r="Q29" s="39" t="s">
        <v>27</v>
      </c>
    </row>
    <row r="30" spans="1:17" x14ac:dyDescent="0.45">
      <c r="A30" s="14">
        <v>23</v>
      </c>
      <c r="B30" s="16" t="s">
        <v>103</v>
      </c>
      <c r="C30" s="16" t="s">
        <v>18</v>
      </c>
      <c r="D30" s="16" t="s">
        <v>19</v>
      </c>
      <c r="E30" s="16" t="s">
        <v>20</v>
      </c>
      <c r="F30" s="11" t="s">
        <v>104</v>
      </c>
      <c r="G30" s="15">
        <v>46098</v>
      </c>
      <c r="H30" s="18" t="s">
        <v>22</v>
      </c>
      <c r="I30" s="12" t="s">
        <v>23</v>
      </c>
      <c r="J30" s="12" t="s">
        <v>20</v>
      </c>
      <c r="K30" s="12" t="s">
        <v>24</v>
      </c>
      <c r="L30" s="39"/>
      <c r="M30" s="16" t="s">
        <v>105</v>
      </c>
      <c r="N30" s="12"/>
      <c r="O30" s="39" t="s">
        <v>106</v>
      </c>
      <c r="P30" s="39"/>
      <c r="Q30" s="39" t="s">
        <v>27</v>
      </c>
    </row>
    <row r="31" spans="1:17" ht="42.75" x14ac:dyDescent="0.45">
      <c r="A31" s="14">
        <v>24</v>
      </c>
      <c r="B31" s="16" t="s">
        <v>81</v>
      </c>
      <c r="C31" s="16" t="s">
        <v>18</v>
      </c>
      <c r="D31" s="16" t="s">
        <v>19</v>
      </c>
      <c r="E31" s="16" t="s">
        <v>20</v>
      </c>
      <c r="F31" s="11" t="s">
        <v>107</v>
      </c>
      <c r="G31" s="15">
        <v>46098</v>
      </c>
      <c r="H31" s="18" t="s">
        <v>22</v>
      </c>
      <c r="I31" s="12" t="s">
        <v>23</v>
      </c>
      <c r="J31" s="12" t="s">
        <v>20</v>
      </c>
      <c r="K31" s="12" t="s">
        <v>83</v>
      </c>
      <c r="L31" s="39"/>
      <c r="M31" s="16" t="s">
        <v>96</v>
      </c>
      <c r="N31" s="12"/>
      <c r="O31" s="39" t="s">
        <v>108</v>
      </c>
      <c r="P31" s="39"/>
      <c r="Q31" s="39" t="s">
        <v>27</v>
      </c>
    </row>
    <row r="32" spans="1:17" x14ac:dyDescent="0.45">
      <c r="A32" s="14">
        <v>25</v>
      </c>
      <c r="B32" s="16" t="s">
        <v>103</v>
      </c>
      <c r="C32" s="16" t="s">
        <v>18</v>
      </c>
      <c r="D32" s="16" t="s">
        <v>19</v>
      </c>
      <c r="E32" s="16" t="s">
        <v>20</v>
      </c>
      <c r="F32" s="11" t="s">
        <v>109</v>
      </c>
      <c r="G32" s="15">
        <v>46098</v>
      </c>
      <c r="H32" s="18" t="s">
        <v>22</v>
      </c>
      <c r="I32" s="12" t="s">
        <v>23</v>
      </c>
      <c r="J32" s="12" t="s">
        <v>37</v>
      </c>
      <c r="K32" s="12"/>
      <c r="L32" s="39"/>
      <c r="M32" s="16"/>
      <c r="N32" s="12"/>
      <c r="O32" s="39" t="s">
        <v>102</v>
      </c>
      <c r="P32" s="39"/>
      <c r="Q32" s="39" t="s">
        <v>54</v>
      </c>
    </row>
    <row r="33" spans="1:17" x14ac:dyDescent="0.45">
      <c r="A33" s="14">
        <v>26</v>
      </c>
      <c r="B33" s="16" t="s">
        <v>103</v>
      </c>
      <c r="C33" s="16" t="s">
        <v>18</v>
      </c>
      <c r="D33" s="16" t="s">
        <v>19</v>
      </c>
      <c r="E33" s="16" t="s">
        <v>20</v>
      </c>
      <c r="F33" s="11" t="s">
        <v>110</v>
      </c>
      <c r="G33" s="15">
        <v>46098</v>
      </c>
      <c r="H33" s="18" t="s">
        <v>22</v>
      </c>
      <c r="I33" s="12" t="s">
        <v>23</v>
      </c>
      <c r="J33" s="12" t="s">
        <v>20</v>
      </c>
      <c r="K33" s="12" t="s">
        <v>83</v>
      </c>
      <c r="L33" s="39"/>
      <c r="M33" s="16" t="s">
        <v>27</v>
      </c>
      <c r="N33" s="12"/>
      <c r="O33" s="39" t="s">
        <v>111</v>
      </c>
      <c r="P33" s="39"/>
      <c r="Q33" s="39" t="s">
        <v>27</v>
      </c>
    </row>
    <row r="34" spans="1:17" ht="28.5" x14ac:dyDescent="0.45">
      <c r="A34" s="14">
        <v>27</v>
      </c>
      <c r="B34" s="16" t="s">
        <v>112</v>
      </c>
      <c r="C34" s="16" t="s">
        <v>18</v>
      </c>
      <c r="D34" s="16" t="s">
        <v>19</v>
      </c>
      <c r="E34" s="16" t="s">
        <v>20</v>
      </c>
      <c r="F34" s="11" t="s">
        <v>113</v>
      </c>
      <c r="G34" s="15">
        <v>46099</v>
      </c>
      <c r="H34" s="18" t="s">
        <v>22</v>
      </c>
      <c r="I34" s="12" t="s">
        <v>23</v>
      </c>
      <c r="J34" s="12" t="s">
        <v>20</v>
      </c>
      <c r="K34" s="12" t="s">
        <v>24</v>
      </c>
      <c r="L34" s="39"/>
      <c r="M34" s="16" t="s">
        <v>114</v>
      </c>
      <c r="N34" s="12"/>
      <c r="O34" s="39" t="s">
        <v>115</v>
      </c>
      <c r="P34" s="39"/>
      <c r="Q34" s="39" t="s">
        <v>27</v>
      </c>
    </row>
    <row r="35" spans="1:17" ht="28.5" x14ac:dyDescent="0.45">
      <c r="A35" s="14">
        <v>28</v>
      </c>
      <c r="B35" s="16" t="s">
        <v>116</v>
      </c>
      <c r="C35" s="16" t="s">
        <v>18</v>
      </c>
      <c r="D35" s="16" t="s">
        <v>50</v>
      </c>
      <c r="E35" s="16" t="s">
        <v>37</v>
      </c>
      <c r="F35" s="11" t="s">
        <v>117</v>
      </c>
      <c r="G35" s="15">
        <v>46099</v>
      </c>
      <c r="H35" s="18" t="s">
        <v>22</v>
      </c>
      <c r="I35" s="12" t="s">
        <v>23</v>
      </c>
      <c r="J35" s="12" t="s">
        <v>66</v>
      </c>
      <c r="K35" s="12"/>
      <c r="L35" s="39"/>
      <c r="M35" s="16" t="s">
        <v>118</v>
      </c>
      <c r="N35" s="12"/>
      <c r="O35" s="39" t="s">
        <v>119</v>
      </c>
      <c r="P35" s="39"/>
      <c r="Q35" s="39" t="s">
        <v>27</v>
      </c>
    </row>
    <row r="36" spans="1:17" x14ac:dyDescent="0.45">
      <c r="A36" s="14">
        <v>29</v>
      </c>
      <c r="B36" s="16" t="s">
        <v>112</v>
      </c>
      <c r="C36" s="16" t="s">
        <v>18</v>
      </c>
      <c r="D36" s="16" t="s">
        <v>19</v>
      </c>
      <c r="E36" s="16" t="s">
        <v>20</v>
      </c>
      <c r="F36" s="11" t="s">
        <v>120</v>
      </c>
      <c r="G36" s="15">
        <v>46099</v>
      </c>
      <c r="H36" s="18" t="s">
        <v>22</v>
      </c>
      <c r="I36" s="12" t="s">
        <v>23</v>
      </c>
      <c r="J36" s="12" t="s">
        <v>20</v>
      </c>
      <c r="K36" s="12" t="s">
        <v>24</v>
      </c>
      <c r="L36" s="39"/>
      <c r="M36" s="16" t="s">
        <v>96</v>
      </c>
      <c r="N36" s="12"/>
      <c r="O36" s="39" t="s">
        <v>121</v>
      </c>
      <c r="P36" s="39"/>
      <c r="Q36" s="39" t="s">
        <v>27</v>
      </c>
    </row>
    <row r="37" spans="1:17" ht="28.5" x14ac:dyDescent="0.45">
      <c r="A37" s="14">
        <v>30</v>
      </c>
      <c r="B37" s="16" t="s">
        <v>103</v>
      </c>
      <c r="C37" s="16" t="s">
        <v>18</v>
      </c>
      <c r="D37" s="16" t="s">
        <v>19</v>
      </c>
      <c r="E37" s="16" t="s">
        <v>20</v>
      </c>
      <c r="F37" s="11" t="s">
        <v>122</v>
      </c>
      <c r="G37" s="15">
        <v>46099</v>
      </c>
      <c r="H37" s="18" t="s">
        <v>22</v>
      </c>
      <c r="I37" s="12" t="s">
        <v>23</v>
      </c>
      <c r="J37" s="12" t="s">
        <v>37</v>
      </c>
      <c r="K37" s="12"/>
      <c r="L37" s="39"/>
      <c r="M37" s="16" t="s">
        <v>123</v>
      </c>
      <c r="N37" s="12"/>
      <c r="O37" s="39" t="s">
        <v>121</v>
      </c>
      <c r="P37" s="39"/>
      <c r="Q37" s="39" t="s">
        <v>27</v>
      </c>
    </row>
    <row r="38" spans="1:17" ht="99.75" customHeight="1" x14ac:dyDescent="0.45">
      <c r="A38" s="68">
        <v>31</v>
      </c>
      <c r="B38" s="16" t="s">
        <v>124</v>
      </c>
      <c r="C38" s="66" t="s">
        <v>18</v>
      </c>
      <c r="D38" s="66" t="s">
        <v>19</v>
      </c>
      <c r="E38" s="66" t="s">
        <v>20</v>
      </c>
      <c r="F38" s="72" t="s">
        <v>126</v>
      </c>
      <c r="G38" s="70">
        <v>46099</v>
      </c>
      <c r="H38" s="73" t="s">
        <v>22</v>
      </c>
      <c r="I38" s="69" t="s">
        <v>23</v>
      </c>
      <c r="J38" s="69" t="s">
        <v>20</v>
      </c>
      <c r="K38" s="69" t="s">
        <v>24</v>
      </c>
      <c r="L38" s="65"/>
      <c r="M38" s="66" t="s">
        <v>96</v>
      </c>
      <c r="N38" s="69"/>
      <c r="O38" s="65" t="s">
        <v>111</v>
      </c>
      <c r="P38" s="65"/>
      <c r="Q38" s="65" t="s">
        <v>27</v>
      </c>
    </row>
    <row r="39" spans="1:17" x14ac:dyDescent="0.45">
      <c r="A39" s="68"/>
      <c r="B39" s="16" t="s">
        <v>125</v>
      </c>
      <c r="C39" s="66"/>
      <c r="D39" s="66"/>
      <c r="E39" s="66"/>
      <c r="F39" s="72"/>
      <c r="G39" s="70"/>
      <c r="H39" s="73"/>
      <c r="I39" s="69"/>
      <c r="J39" s="69"/>
      <c r="K39" s="69"/>
      <c r="L39" s="65"/>
      <c r="M39" s="66"/>
      <c r="N39" s="69"/>
      <c r="O39" s="65"/>
      <c r="P39" s="65"/>
      <c r="Q39" s="65"/>
    </row>
    <row r="40" spans="1:17" ht="28.5" x14ac:dyDescent="0.45">
      <c r="A40" s="14">
        <v>32</v>
      </c>
      <c r="B40" s="16" t="s">
        <v>127</v>
      </c>
      <c r="C40" s="16" t="s">
        <v>18</v>
      </c>
      <c r="D40" s="16" t="s">
        <v>19</v>
      </c>
      <c r="E40" s="16" t="s">
        <v>20</v>
      </c>
      <c r="F40" s="11" t="s">
        <v>128</v>
      </c>
      <c r="G40" s="15">
        <v>46099</v>
      </c>
      <c r="H40" s="18" t="s">
        <v>42</v>
      </c>
      <c r="I40" s="12" t="s">
        <v>23</v>
      </c>
      <c r="J40" s="12" t="s">
        <v>20</v>
      </c>
      <c r="K40" s="12" t="s">
        <v>24</v>
      </c>
      <c r="L40" s="39"/>
      <c r="M40" s="16" t="s">
        <v>129</v>
      </c>
      <c r="N40" s="12"/>
      <c r="O40" s="39" t="s">
        <v>108</v>
      </c>
      <c r="P40" s="39"/>
      <c r="Q40" s="39" t="s">
        <v>27</v>
      </c>
    </row>
    <row r="41" spans="1:17" ht="42.75" x14ac:dyDescent="0.45">
      <c r="A41" s="14">
        <v>33</v>
      </c>
      <c r="B41" s="16" t="s">
        <v>127</v>
      </c>
      <c r="C41" s="16" t="s">
        <v>18</v>
      </c>
      <c r="D41" s="16" t="s">
        <v>19</v>
      </c>
      <c r="E41" s="16" t="s">
        <v>20</v>
      </c>
      <c r="F41" s="11" t="s">
        <v>130</v>
      </c>
      <c r="G41" s="15">
        <v>46099</v>
      </c>
      <c r="H41" s="18" t="s">
        <v>42</v>
      </c>
      <c r="I41" s="12" t="s">
        <v>23</v>
      </c>
      <c r="J41" s="12" t="s">
        <v>20</v>
      </c>
      <c r="K41" s="12" t="s">
        <v>24</v>
      </c>
      <c r="L41" s="39"/>
      <c r="M41" s="16" t="s">
        <v>131</v>
      </c>
      <c r="N41" s="12"/>
      <c r="O41" s="39" t="s">
        <v>132</v>
      </c>
      <c r="P41" s="39"/>
      <c r="Q41" s="39" t="s">
        <v>27</v>
      </c>
    </row>
    <row r="42" spans="1:17" x14ac:dyDescent="0.45">
      <c r="A42" s="14">
        <v>34</v>
      </c>
      <c r="B42" s="16" t="s">
        <v>127</v>
      </c>
      <c r="C42" s="16" t="s">
        <v>18</v>
      </c>
      <c r="D42" s="16" t="s">
        <v>19</v>
      </c>
      <c r="E42" s="16" t="s">
        <v>37</v>
      </c>
      <c r="F42" s="11" t="s">
        <v>133</v>
      </c>
      <c r="G42" s="15">
        <v>46099</v>
      </c>
      <c r="H42" s="18" t="s">
        <v>42</v>
      </c>
      <c r="I42" s="12" t="s">
        <v>88</v>
      </c>
      <c r="J42" s="12" t="s">
        <v>20</v>
      </c>
      <c r="K42" s="12" t="s">
        <v>24</v>
      </c>
      <c r="L42" s="39"/>
      <c r="M42" s="16" t="s">
        <v>134</v>
      </c>
      <c r="N42" s="12"/>
      <c r="O42" s="39" t="s">
        <v>59</v>
      </c>
      <c r="P42" s="39"/>
      <c r="Q42" s="39" t="s">
        <v>60</v>
      </c>
    </row>
    <row r="43" spans="1:17" ht="28.5" x14ac:dyDescent="0.45">
      <c r="A43" s="14">
        <v>35</v>
      </c>
      <c r="B43" s="16" t="s">
        <v>135</v>
      </c>
      <c r="C43" s="16" t="s">
        <v>18</v>
      </c>
      <c r="D43" s="16" t="s">
        <v>19</v>
      </c>
      <c r="E43" s="16" t="s">
        <v>20</v>
      </c>
      <c r="F43" s="11" t="s">
        <v>136</v>
      </c>
      <c r="G43" s="15">
        <v>46099</v>
      </c>
      <c r="H43" s="18" t="s">
        <v>71</v>
      </c>
      <c r="I43" s="12" t="s">
        <v>23</v>
      </c>
      <c r="J43" s="12" t="s">
        <v>20</v>
      </c>
      <c r="K43" s="12" t="s">
        <v>24</v>
      </c>
      <c r="L43" s="39"/>
      <c r="M43" s="16" t="s">
        <v>96</v>
      </c>
      <c r="N43" s="12"/>
      <c r="O43" s="39" t="s">
        <v>106</v>
      </c>
      <c r="P43" s="39"/>
      <c r="Q43" s="39" t="s">
        <v>27</v>
      </c>
    </row>
    <row r="44" spans="1:17" ht="28.5" x14ac:dyDescent="0.45">
      <c r="A44" s="68">
        <v>36</v>
      </c>
      <c r="B44" s="66" t="s">
        <v>61</v>
      </c>
      <c r="C44" s="66" t="s">
        <v>18</v>
      </c>
      <c r="D44" s="66" t="s">
        <v>19</v>
      </c>
      <c r="E44" s="66" t="s">
        <v>37</v>
      </c>
      <c r="F44" s="11" t="s">
        <v>137</v>
      </c>
      <c r="G44" s="70">
        <v>46099</v>
      </c>
      <c r="H44" s="73" t="s">
        <v>139</v>
      </c>
      <c r="I44" s="69" t="s">
        <v>23</v>
      </c>
      <c r="J44" s="69" t="s">
        <v>66</v>
      </c>
      <c r="K44" s="69"/>
      <c r="L44" s="65"/>
      <c r="M44" s="66" t="s">
        <v>140</v>
      </c>
      <c r="N44" s="69"/>
      <c r="O44" s="65" t="s">
        <v>121</v>
      </c>
      <c r="P44" s="65"/>
      <c r="Q44" s="65" t="s">
        <v>27</v>
      </c>
    </row>
    <row r="45" spans="1:17" ht="28.5" x14ac:dyDescent="0.45">
      <c r="A45" s="68"/>
      <c r="B45" s="66"/>
      <c r="C45" s="66"/>
      <c r="D45" s="66"/>
      <c r="E45" s="66"/>
      <c r="F45" s="11" t="s">
        <v>138</v>
      </c>
      <c r="G45" s="70"/>
      <c r="H45" s="73"/>
      <c r="I45" s="69"/>
      <c r="J45" s="69"/>
      <c r="K45" s="69"/>
      <c r="L45" s="65"/>
      <c r="M45" s="66"/>
      <c r="N45" s="69"/>
      <c r="O45" s="65"/>
      <c r="P45" s="65"/>
      <c r="Q45" s="65"/>
    </row>
    <row r="46" spans="1:17" ht="28.5" x14ac:dyDescent="0.45">
      <c r="A46" s="14">
        <v>37</v>
      </c>
      <c r="B46" s="16" t="s">
        <v>141</v>
      </c>
      <c r="C46" s="16" t="s">
        <v>29</v>
      </c>
      <c r="D46" s="16" t="s">
        <v>19</v>
      </c>
      <c r="E46" s="16" t="s">
        <v>142</v>
      </c>
      <c r="F46" s="11" t="s">
        <v>143</v>
      </c>
      <c r="G46" s="15">
        <v>46099</v>
      </c>
      <c r="H46" s="18" t="s">
        <v>144</v>
      </c>
      <c r="I46" s="39"/>
      <c r="J46" s="12" t="s">
        <v>20</v>
      </c>
      <c r="K46" s="12" t="s">
        <v>24</v>
      </c>
      <c r="L46" s="39"/>
      <c r="M46" s="16" t="s">
        <v>145</v>
      </c>
      <c r="N46" s="12"/>
      <c r="O46" s="39" t="s">
        <v>146</v>
      </c>
      <c r="P46" s="39"/>
      <c r="Q46" s="39" t="s">
        <v>54</v>
      </c>
    </row>
    <row r="47" spans="1:17" x14ac:dyDescent="0.45">
      <c r="A47" s="68">
        <v>38</v>
      </c>
      <c r="B47" s="16" t="s">
        <v>147</v>
      </c>
      <c r="C47" s="66" t="s">
        <v>29</v>
      </c>
      <c r="D47" s="66" t="s">
        <v>19</v>
      </c>
      <c r="E47" s="66" t="s">
        <v>142</v>
      </c>
      <c r="F47" s="17" t="s">
        <v>148</v>
      </c>
      <c r="G47" s="70">
        <v>46099</v>
      </c>
      <c r="H47" s="73" t="s">
        <v>144</v>
      </c>
      <c r="I47" s="65"/>
      <c r="J47" s="69" t="s">
        <v>20</v>
      </c>
      <c r="K47" s="69" t="s">
        <v>24</v>
      </c>
      <c r="L47" s="65"/>
      <c r="M47" s="66" t="s">
        <v>150</v>
      </c>
      <c r="N47" s="69"/>
      <c r="O47" s="65" t="s">
        <v>53</v>
      </c>
      <c r="P47" s="65"/>
      <c r="Q47" s="65" t="s">
        <v>54</v>
      </c>
    </row>
    <row r="48" spans="1:17" x14ac:dyDescent="0.45">
      <c r="A48" s="68"/>
      <c r="B48" s="16" t="s">
        <v>74</v>
      </c>
      <c r="C48" s="66"/>
      <c r="D48" s="66"/>
      <c r="E48" s="66"/>
      <c r="F48" s="17" t="s">
        <v>149</v>
      </c>
      <c r="G48" s="70"/>
      <c r="H48" s="73"/>
      <c r="I48" s="65"/>
      <c r="J48" s="69"/>
      <c r="K48" s="69"/>
      <c r="L48" s="65"/>
      <c r="M48" s="66"/>
      <c r="N48" s="69"/>
      <c r="O48" s="65"/>
      <c r="P48" s="65"/>
      <c r="Q48" s="65"/>
    </row>
    <row r="49" spans="1:17" ht="28.5" x14ac:dyDescent="0.45">
      <c r="A49" s="14">
        <v>39</v>
      </c>
      <c r="B49" s="16" t="s">
        <v>151</v>
      </c>
      <c r="C49" s="16" t="s">
        <v>29</v>
      </c>
      <c r="D49" s="16" t="s">
        <v>19</v>
      </c>
      <c r="E49" s="16" t="s">
        <v>20</v>
      </c>
      <c r="F49" s="11" t="s">
        <v>152</v>
      </c>
      <c r="G49" s="15">
        <v>46099</v>
      </c>
      <c r="H49" s="18" t="s">
        <v>144</v>
      </c>
      <c r="I49" s="39"/>
      <c r="J49" s="12" t="s">
        <v>20</v>
      </c>
      <c r="K49" s="12" t="s">
        <v>24</v>
      </c>
      <c r="L49" s="39"/>
      <c r="M49" s="16" t="s">
        <v>153</v>
      </c>
      <c r="N49" s="12"/>
      <c r="O49" s="39" t="s">
        <v>154</v>
      </c>
      <c r="P49" s="39"/>
      <c r="Q49" s="39" t="s">
        <v>27</v>
      </c>
    </row>
    <row r="50" spans="1:17" x14ac:dyDescent="0.45">
      <c r="A50" s="14">
        <v>40</v>
      </c>
      <c r="B50" s="16" t="s">
        <v>74</v>
      </c>
      <c r="C50" s="16" t="s">
        <v>29</v>
      </c>
      <c r="D50" s="16" t="s">
        <v>19</v>
      </c>
      <c r="E50" s="16" t="s">
        <v>20</v>
      </c>
      <c r="F50" s="11" t="s">
        <v>155</v>
      </c>
      <c r="G50" s="15">
        <v>46099</v>
      </c>
      <c r="H50" s="18" t="s">
        <v>144</v>
      </c>
      <c r="I50" s="39"/>
      <c r="J50" s="12" t="s">
        <v>20</v>
      </c>
      <c r="K50" s="12" t="s">
        <v>24</v>
      </c>
      <c r="L50" s="39"/>
      <c r="M50" s="16" t="s">
        <v>156</v>
      </c>
      <c r="N50" s="12"/>
      <c r="O50" s="39" t="s">
        <v>108</v>
      </c>
      <c r="P50" s="39"/>
      <c r="Q50" s="39" t="s">
        <v>54</v>
      </c>
    </row>
    <row r="51" spans="1:17" ht="142.5" customHeight="1" x14ac:dyDescent="0.45">
      <c r="A51" s="68">
        <v>41</v>
      </c>
      <c r="B51" s="16" t="s">
        <v>147</v>
      </c>
      <c r="C51" s="66" t="s">
        <v>18</v>
      </c>
      <c r="D51" s="66" t="s">
        <v>19</v>
      </c>
      <c r="E51" s="66" t="s">
        <v>20</v>
      </c>
      <c r="F51" s="72" t="s">
        <v>157</v>
      </c>
      <c r="G51" s="70">
        <v>46099</v>
      </c>
      <c r="H51" s="73" t="s">
        <v>71</v>
      </c>
      <c r="I51" s="69" t="s">
        <v>23</v>
      </c>
      <c r="J51" s="69" t="s">
        <v>37</v>
      </c>
      <c r="K51" s="69"/>
      <c r="L51" s="65"/>
      <c r="M51" s="16" t="s">
        <v>158</v>
      </c>
      <c r="N51" s="69"/>
      <c r="O51" s="65" t="s">
        <v>102</v>
      </c>
      <c r="P51" s="65"/>
      <c r="Q51" s="65" t="s">
        <v>27</v>
      </c>
    </row>
    <row r="52" spans="1:17" x14ac:dyDescent="0.45">
      <c r="A52" s="68"/>
      <c r="B52" s="16" t="s">
        <v>74</v>
      </c>
      <c r="C52" s="66"/>
      <c r="D52" s="66"/>
      <c r="E52" s="66"/>
      <c r="F52" s="72"/>
      <c r="G52" s="70"/>
      <c r="H52" s="73"/>
      <c r="I52" s="69"/>
      <c r="J52" s="69"/>
      <c r="K52" s="69"/>
      <c r="L52" s="65"/>
      <c r="M52" s="41"/>
      <c r="N52" s="69"/>
      <c r="O52" s="65"/>
      <c r="P52" s="65"/>
      <c r="Q52" s="65"/>
    </row>
    <row r="53" spans="1:17" x14ac:dyDescent="0.45">
      <c r="A53" s="68"/>
      <c r="B53" s="16"/>
      <c r="C53" s="66"/>
      <c r="D53" s="66"/>
      <c r="E53" s="66"/>
      <c r="F53" s="72"/>
      <c r="G53" s="70"/>
      <c r="H53" s="73"/>
      <c r="I53" s="69"/>
      <c r="J53" s="69"/>
      <c r="K53" s="69"/>
      <c r="L53" s="65"/>
      <c r="M53" s="16" t="s">
        <v>159</v>
      </c>
      <c r="N53" s="69"/>
      <c r="O53" s="65"/>
      <c r="P53" s="65"/>
      <c r="Q53" s="65"/>
    </row>
    <row r="54" spans="1:17" x14ac:dyDescent="0.45">
      <c r="A54" s="74">
        <v>42</v>
      </c>
      <c r="B54" s="74" t="s">
        <v>160</v>
      </c>
      <c r="C54" s="74" t="s">
        <v>18</v>
      </c>
      <c r="D54" s="74" t="s">
        <v>19</v>
      </c>
      <c r="E54" s="74" t="s">
        <v>57</v>
      </c>
      <c r="F54" s="19" t="s">
        <v>161</v>
      </c>
      <c r="G54" s="75">
        <v>46100</v>
      </c>
      <c r="H54" s="76" t="s">
        <v>42</v>
      </c>
      <c r="I54" s="76" t="s">
        <v>23</v>
      </c>
      <c r="J54" s="67"/>
      <c r="K54" s="67"/>
      <c r="L54" s="65"/>
      <c r="M54" s="66"/>
      <c r="N54" s="69"/>
      <c r="O54" s="77" t="s">
        <v>59</v>
      </c>
      <c r="P54" s="65"/>
      <c r="Q54" s="77" t="s">
        <v>60</v>
      </c>
    </row>
    <row r="55" spans="1:17" x14ac:dyDescent="0.45">
      <c r="A55" s="74"/>
      <c r="B55" s="74"/>
      <c r="C55" s="74"/>
      <c r="D55" s="74"/>
      <c r="E55" s="74"/>
      <c r="F55" s="19" t="s">
        <v>162</v>
      </c>
      <c r="G55" s="75"/>
      <c r="H55" s="76"/>
      <c r="I55" s="76"/>
      <c r="J55" s="67"/>
      <c r="K55" s="67"/>
      <c r="L55" s="65"/>
      <c r="M55" s="66"/>
      <c r="N55" s="69"/>
      <c r="O55" s="77"/>
      <c r="P55" s="65"/>
      <c r="Q55" s="77"/>
    </row>
    <row r="56" spans="1:17" ht="28.5" x14ac:dyDescent="0.45">
      <c r="A56" s="68">
        <v>43</v>
      </c>
      <c r="B56" s="66" t="s">
        <v>160</v>
      </c>
      <c r="C56" s="66" t="s">
        <v>18</v>
      </c>
      <c r="D56" s="66" t="s">
        <v>19</v>
      </c>
      <c r="E56" s="66" t="s">
        <v>20</v>
      </c>
      <c r="F56" s="11" t="s">
        <v>163</v>
      </c>
      <c r="G56" s="70">
        <v>46100</v>
      </c>
      <c r="H56" s="73" t="s">
        <v>42</v>
      </c>
      <c r="I56" s="69" t="s">
        <v>23</v>
      </c>
      <c r="J56" s="69" t="s">
        <v>20</v>
      </c>
      <c r="K56" s="69" t="s">
        <v>83</v>
      </c>
      <c r="L56" s="65"/>
      <c r="M56" s="66"/>
      <c r="N56" s="69"/>
      <c r="O56" s="65" t="s">
        <v>108</v>
      </c>
      <c r="P56" s="65"/>
      <c r="Q56" s="65" t="s">
        <v>54</v>
      </c>
    </row>
    <row r="57" spans="1:17" ht="28.5" x14ac:dyDescent="0.45">
      <c r="A57" s="68"/>
      <c r="B57" s="66"/>
      <c r="C57" s="66"/>
      <c r="D57" s="66"/>
      <c r="E57" s="66"/>
      <c r="F57" s="11" t="s">
        <v>164</v>
      </c>
      <c r="G57" s="70"/>
      <c r="H57" s="73"/>
      <c r="I57" s="69"/>
      <c r="J57" s="69"/>
      <c r="K57" s="69"/>
      <c r="L57" s="65"/>
      <c r="M57" s="66"/>
      <c r="N57" s="69"/>
      <c r="O57" s="65"/>
      <c r="P57" s="65"/>
      <c r="Q57" s="65"/>
    </row>
    <row r="58" spans="1:17" ht="28.5" x14ac:dyDescent="0.45">
      <c r="A58" s="68">
        <v>44</v>
      </c>
      <c r="B58" s="66" t="s">
        <v>160</v>
      </c>
      <c r="C58" s="66" t="s">
        <v>18</v>
      </c>
      <c r="D58" s="66" t="s">
        <v>19</v>
      </c>
      <c r="E58" s="66" t="s">
        <v>20</v>
      </c>
      <c r="F58" s="11" t="s">
        <v>165</v>
      </c>
      <c r="G58" s="70">
        <v>46100</v>
      </c>
      <c r="H58" s="73" t="s">
        <v>42</v>
      </c>
      <c r="I58" s="69" t="s">
        <v>23</v>
      </c>
      <c r="J58" s="69" t="s">
        <v>20</v>
      </c>
      <c r="K58" s="69" t="s">
        <v>83</v>
      </c>
      <c r="L58" s="65"/>
      <c r="M58" s="66"/>
      <c r="N58" s="69"/>
      <c r="O58" s="65" t="s">
        <v>167</v>
      </c>
      <c r="P58" s="65"/>
      <c r="Q58" s="65" t="s">
        <v>27</v>
      </c>
    </row>
    <row r="59" spans="1:17" x14ac:dyDescent="0.45">
      <c r="A59" s="68"/>
      <c r="B59" s="66"/>
      <c r="C59" s="66"/>
      <c r="D59" s="66"/>
      <c r="E59" s="66"/>
      <c r="F59" s="11"/>
      <c r="G59" s="70"/>
      <c r="H59" s="73"/>
      <c r="I59" s="69"/>
      <c r="J59" s="69"/>
      <c r="K59" s="69"/>
      <c r="L59" s="65"/>
      <c r="M59" s="66"/>
      <c r="N59" s="69"/>
      <c r="O59" s="65"/>
      <c r="P59" s="65"/>
      <c r="Q59" s="65"/>
    </row>
    <row r="60" spans="1:17" x14ac:dyDescent="0.45">
      <c r="A60" s="68"/>
      <c r="B60" s="66"/>
      <c r="C60" s="66"/>
      <c r="D60" s="66"/>
      <c r="E60" s="66"/>
      <c r="F60" s="11" t="s">
        <v>166</v>
      </c>
      <c r="G60" s="70"/>
      <c r="H60" s="73"/>
      <c r="I60" s="69"/>
      <c r="J60" s="69"/>
      <c r="K60" s="69"/>
      <c r="L60" s="65"/>
      <c r="M60" s="66"/>
      <c r="N60" s="69"/>
      <c r="O60" s="65"/>
      <c r="P60" s="65"/>
      <c r="Q60" s="65"/>
    </row>
    <row r="61" spans="1:17" x14ac:dyDescent="0.45">
      <c r="A61" s="74">
        <v>45</v>
      </c>
      <c r="B61" s="74" t="s">
        <v>168</v>
      </c>
      <c r="C61" s="74" t="s">
        <v>18</v>
      </c>
      <c r="D61" s="74" t="s">
        <v>19</v>
      </c>
      <c r="E61" s="74" t="s">
        <v>20</v>
      </c>
      <c r="F61" s="49" t="s">
        <v>169</v>
      </c>
      <c r="G61" s="75">
        <v>46100</v>
      </c>
      <c r="H61" s="76" t="s">
        <v>42</v>
      </c>
      <c r="I61" s="76" t="s">
        <v>23</v>
      </c>
      <c r="J61" s="67"/>
      <c r="K61" s="67"/>
      <c r="L61" s="65"/>
      <c r="M61" s="66"/>
      <c r="N61" s="69"/>
      <c r="O61" s="65" t="s">
        <v>59</v>
      </c>
      <c r="P61" s="65"/>
      <c r="Q61" s="77" t="s">
        <v>60</v>
      </c>
    </row>
    <row r="62" spans="1:17" x14ac:dyDescent="0.45">
      <c r="A62" s="74"/>
      <c r="B62" s="74"/>
      <c r="C62" s="74"/>
      <c r="D62" s="74"/>
      <c r="E62" s="74"/>
      <c r="F62" s="49" t="s">
        <v>170</v>
      </c>
      <c r="G62" s="75"/>
      <c r="H62" s="76"/>
      <c r="I62" s="76"/>
      <c r="J62" s="67"/>
      <c r="K62" s="67"/>
      <c r="L62" s="65"/>
      <c r="M62" s="66"/>
      <c r="N62" s="69"/>
      <c r="O62" s="65"/>
      <c r="P62" s="65"/>
      <c r="Q62" s="77"/>
    </row>
    <row r="63" spans="1:17" x14ac:dyDescent="0.45">
      <c r="A63" s="74"/>
      <c r="B63" s="74"/>
      <c r="C63" s="74"/>
      <c r="D63" s="74"/>
      <c r="E63" s="74"/>
      <c r="F63" s="19"/>
      <c r="G63" s="75"/>
      <c r="H63" s="76"/>
      <c r="I63" s="76"/>
      <c r="J63" s="67"/>
      <c r="K63" s="67"/>
      <c r="L63" s="65"/>
      <c r="M63" s="66"/>
      <c r="N63" s="69"/>
      <c r="O63" s="65"/>
      <c r="P63" s="65"/>
      <c r="Q63" s="77"/>
    </row>
    <row r="64" spans="1:17" x14ac:dyDescent="0.45">
      <c r="A64" s="74"/>
      <c r="B64" s="74"/>
      <c r="C64" s="74"/>
      <c r="D64" s="74"/>
      <c r="E64" s="74"/>
      <c r="F64" s="19"/>
      <c r="G64" s="75"/>
      <c r="H64" s="76"/>
      <c r="I64" s="76"/>
      <c r="J64" s="67"/>
      <c r="K64" s="67"/>
      <c r="L64" s="65"/>
      <c r="M64" s="66"/>
      <c r="N64" s="69"/>
      <c r="O64" s="65"/>
      <c r="P64" s="65"/>
      <c r="Q64" s="77"/>
    </row>
    <row r="65" spans="1:17" ht="28.5" x14ac:dyDescent="0.45">
      <c r="A65" s="74"/>
      <c r="B65" s="74"/>
      <c r="C65" s="74"/>
      <c r="D65" s="74"/>
      <c r="E65" s="74"/>
      <c r="F65" s="19" t="s">
        <v>171</v>
      </c>
      <c r="G65" s="75"/>
      <c r="H65" s="76"/>
      <c r="I65" s="76"/>
      <c r="J65" s="67"/>
      <c r="K65" s="67"/>
      <c r="L65" s="65"/>
      <c r="M65" s="66"/>
      <c r="N65" s="69"/>
      <c r="O65" s="65"/>
      <c r="P65" s="65"/>
      <c r="Q65" s="77"/>
    </row>
    <row r="66" spans="1:17" x14ac:dyDescent="0.45">
      <c r="A66" s="47">
        <v>46</v>
      </c>
      <c r="B66" s="42" t="s">
        <v>168</v>
      </c>
      <c r="C66" s="42" t="s">
        <v>18</v>
      </c>
      <c r="D66" s="42" t="s">
        <v>19</v>
      </c>
      <c r="E66" s="42" t="s">
        <v>20</v>
      </c>
      <c r="F66" s="19" t="s">
        <v>172</v>
      </c>
      <c r="G66" s="48">
        <v>46100</v>
      </c>
      <c r="H66" s="20" t="s">
        <v>42</v>
      </c>
      <c r="I66" s="21" t="s">
        <v>23</v>
      </c>
      <c r="J66" s="12"/>
      <c r="K66" s="12"/>
      <c r="L66" s="39"/>
      <c r="M66" s="16"/>
      <c r="N66" s="12"/>
      <c r="O66" s="40" t="s">
        <v>59</v>
      </c>
      <c r="P66" s="39"/>
      <c r="Q66" s="40" t="s">
        <v>60</v>
      </c>
    </row>
    <row r="67" spans="1:17" ht="28.5" x14ac:dyDescent="0.45">
      <c r="A67" s="78">
        <v>47</v>
      </c>
      <c r="B67" s="79" t="s">
        <v>168</v>
      </c>
      <c r="C67" s="79" t="s">
        <v>18</v>
      </c>
      <c r="D67" s="79" t="s">
        <v>19</v>
      </c>
      <c r="E67" s="79" t="s">
        <v>20</v>
      </c>
      <c r="F67" s="19" t="s">
        <v>173</v>
      </c>
      <c r="G67" s="75">
        <v>46100</v>
      </c>
      <c r="H67" s="80" t="s">
        <v>42</v>
      </c>
      <c r="I67" s="74" t="s">
        <v>23</v>
      </c>
      <c r="J67" s="69"/>
      <c r="K67" s="69"/>
      <c r="L67" s="65"/>
      <c r="M67" s="66"/>
      <c r="N67" s="69"/>
      <c r="O67" s="77" t="s">
        <v>59</v>
      </c>
      <c r="P67" s="65"/>
      <c r="Q67" s="77" t="s">
        <v>60</v>
      </c>
    </row>
    <row r="68" spans="1:17" ht="28.5" x14ac:dyDescent="0.45">
      <c r="A68" s="78"/>
      <c r="B68" s="79"/>
      <c r="C68" s="79"/>
      <c r="D68" s="79"/>
      <c r="E68" s="79"/>
      <c r="F68" s="19" t="s">
        <v>174</v>
      </c>
      <c r="G68" s="75"/>
      <c r="H68" s="80"/>
      <c r="I68" s="74"/>
      <c r="J68" s="69"/>
      <c r="K68" s="69"/>
      <c r="L68" s="65"/>
      <c r="M68" s="66"/>
      <c r="N68" s="69"/>
      <c r="O68" s="77"/>
      <c r="P68" s="65"/>
      <c r="Q68" s="77"/>
    </row>
    <row r="69" spans="1:17" ht="185.25" customHeight="1" x14ac:dyDescent="0.45">
      <c r="A69" s="78">
        <v>48</v>
      </c>
      <c r="B69" s="79" t="s">
        <v>175</v>
      </c>
      <c r="C69" s="79" t="s">
        <v>18</v>
      </c>
      <c r="D69" s="79" t="s">
        <v>19</v>
      </c>
      <c r="E69" s="79" t="s">
        <v>20</v>
      </c>
      <c r="F69" s="81" t="s">
        <v>176</v>
      </c>
      <c r="G69" s="75">
        <v>46100</v>
      </c>
      <c r="H69" s="80" t="s">
        <v>22</v>
      </c>
      <c r="I69" s="77" t="s">
        <v>88</v>
      </c>
      <c r="J69" s="74" t="s">
        <v>20</v>
      </c>
      <c r="K69" s="74" t="s">
        <v>83</v>
      </c>
      <c r="L69" s="65"/>
      <c r="M69" s="42" t="s">
        <v>177</v>
      </c>
      <c r="N69" s="69"/>
      <c r="O69" s="77" t="s">
        <v>59</v>
      </c>
      <c r="P69" s="65"/>
      <c r="Q69" s="77" t="s">
        <v>60</v>
      </c>
    </row>
    <row r="70" spans="1:17" x14ac:dyDescent="0.45">
      <c r="A70" s="78"/>
      <c r="B70" s="79"/>
      <c r="C70" s="79"/>
      <c r="D70" s="79"/>
      <c r="E70" s="79"/>
      <c r="F70" s="81"/>
      <c r="G70" s="75"/>
      <c r="H70" s="80"/>
      <c r="I70" s="77"/>
      <c r="J70" s="74"/>
      <c r="K70" s="74"/>
      <c r="L70" s="65"/>
      <c r="M70" s="42" t="s">
        <v>178</v>
      </c>
      <c r="N70" s="69"/>
      <c r="O70" s="77"/>
      <c r="P70" s="65"/>
      <c r="Q70" s="77"/>
    </row>
    <row r="71" spans="1:17" ht="57" x14ac:dyDescent="0.45">
      <c r="A71" s="14">
        <v>49</v>
      </c>
      <c r="B71" s="16" t="s">
        <v>179</v>
      </c>
      <c r="C71" s="16" t="s">
        <v>18</v>
      </c>
      <c r="D71" s="16" t="s">
        <v>19</v>
      </c>
      <c r="E71" s="16" t="s">
        <v>20</v>
      </c>
      <c r="F71" s="11" t="s">
        <v>180</v>
      </c>
      <c r="G71" s="15">
        <v>46100</v>
      </c>
      <c r="H71" s="18" t="s">
        <v>22</v>
      </c>
      <c r="I71" s="39" t="s">
        <v>88</v>
      </c>
      <c r="J71" s="12" t="s">
        <v>20</v>
      </c>
      <c r="K71" s="12" t="s">
        <v>24</v>
      </c>
      <c r="L71" s="39"/>
      <c r="M71" s="16"/>
      <c r="N71" s="12"/>
      <c r="O71" s="39" t="s">
        <v>48</v>
      </c>
      <c r="P71" s="39"/>
      <c r="Q71" s="39" t="s">
        <v>27</v>
      </c>
    </row>
    <row r="72" spans="1:17" ht="28.5" x14ac:dyDescent="0.45">
      <c r="A72" s="14">
        <v>50</v>
      </c>
      <c r="B72" s="16" t="s">
        <v>181</v>
      </c>
      <c r="C72" s="16" t="s">
        <v>18</v>
      </c>
      <c r="D72" s="16" t="s">
        <v>50</v>
      </c>
      <c r="E72" s="16" t="s">
        <v>57</v>
      </c>
      <c r="F72" s="24" t="s">
        <v>182</v>
      </c>
      <c r="G72" s="15">
        <v>46100</v>
      </c>
      <c r="H72" s="18" t="s">
        <v>42</v>
      </c>
      <c r="I72" s="12" t="s">
        <v>23</v>
      </c>
      <c r="J72" s="12" t="s">
        <v>37</v>
      </c>
      <c r="K72" s="12"/>
      <c r="L72" s="39"/>
      <c r="M72" s="16" t="s">
        <v>183</v>
      </c>
      <c r="N72" s="12"/>
      <c r="O72" s="39" t="s">
        <v>80</v>
      </c>
      <c r="P72" s="39"/>
      <c r="Q72" s="39" t="s">
        <v>54</v>
      </c>
    </row>
    <row r="73" spans="1:17" ht="28.5" x14ac:dyDescent="0.45">
      <c r="A73" s="14">
        <v>51</v>
      </c>
      <c r="B73" s="16" t="s">
        <v>184</v>
      </c>
      <c r="C73" s="16" t="s">
        <v>18</v>
      </c>
      <c r="D73" s="16" t="s">
        <v>19</v>
      </c>
      <c r="E73" s="16" t="s">
        <v>20</v>
      </c>
      <c r="F73" s="11" t="s">
        <v>185</v>
      </c>
      <c r="G73" s="15">
        <v>46100</v>
      </c>
      <c r="H73" s="18" t="s">
        <v>144</v>
      </c>
      <c r="I73" s="39"/>
      <c r="J73" s="12" t="s">
        <v>20</v>
      </c>
      <c r="K73" s="12" t="s">
        <v>24</v>
      </c>
      <c r="L73" s="39"/>
      <c r="M73" s="16" t="s">
        <v>186</v>
      </c>
      <c r="N73" s="12"/>
      <c r="O73" s="39" t="s">
        <v>106</v>
      </c>
      <c r="P73" s="39"/>
      <c r="Q73" s="39" t="s">
        <v>27</v>
      </c>
    </row>
    <row r="74" spans="1:17" ht="28.5" x14ac:dyDescent="0.45">
      <c r="A74" s="14">
        <v>52</v>
      </c>
      <c r="B74" s="16" t="s">
        <v>187</v>
      </c>
      <c r="C74" s="16" t="s">
        <v>18</v>
      </c>
      <c r="D74" s="16" t="s">
        <v>50</v>
      </c>
      <c r="E74" s="16" t="s">
        <v>57</v>
      </c>
      <c r="F74" s="11" t="s">
        <v>188</v>
      </c>
      <c r="G74" s="15">
        <v>46100</v>
      </c>
      <c r="H74" s="18" t="s">
        <v>144</v>
      </c>
      <c r="I74" s="39"/>
      <c r="J74" s="12" t="s">
        <v>66</v>
      </c>
      <c r="K74" s="12"/>
      <c r="L74" s="39"/>
      <c r="M74" s="16" t="s">
        <v>189</v>
      </c>
      <c r="N74" s="12"/>
      <c r="O74" s="39" t="s">
        <v>190</v>
      </c>
      <c r="P74" s="39"/>
      <c r="Q74" s="39" t="s">
        <v>54</v>
      </c>
    </row>
    <row r="75" spans="1:17" ht="28.5" x14ac:dyDescent="0.45">
      <c r="A75" s="14">
        <v>53</v>
      </c>
      <c r="B75" s="16" t="s">
        <v>191</v>
      </c>
      <c r="C75" s="16" t="s">
        <v>18</v>
      </c>
      <c r="D75" s="16" t="s">
        <v>19</v>
      </c>
      <c r="E75" s="16" t="s">
        <v>20</v>
      </c>
      <c r="F75" s="11" t="s">
        <v>192</v>
      </c>
      <c r="G75" s="15">
        <v>46100</v>
      </c>
      <c r="H75" s="18" t="s">
        <v>22</v>
      </c>
      <c r="I75" s="39" t="s">
        <v>23</v>
      </c>
      <c r="J75" s="12" t="s">
        <v>20</v>
      </c>
      <c r="K75" s="12" t="s">
        <v>83</v>
      </c>
      <c r="L75" s="39"/>
      <c r="M75" s="16" t="s">
        <v>27</v>
      </c>
      <c r="N75" s="12"/>
      <c r="O75" s="39" t="s">
        <v>106</v>
      </c>
      <c r="P75" s="39"/>
      <c r="Q75" s="39" t="s">
        <v>27</v>
      </c>
    </row>
    <row r="76" spans="1:17" x14ac:dyDescent="0.45">
      <c r="A76" s="14">
        <v>54</v>
      </c>
      <c r="B76" s="16" t="s">
        <v>187</v>
      </c>
      <c r="C76" s="16" t="s">
        <v>18</v>
      </c>
      <c r="D76" s="16" t="s">
        <v>19</v>
      </c>
      <c r="E76" s="16" t="s">
        <v>57</v>
      </c>
      <c r="F76" s="11" t="s">
        <v>193</v>
      </c>
      <c r="G76" s="15">
        <v>46100</v>
      </c>
      <c r="H76" s="18" t="s">
        <v>144</v>
      </c>
      <c r="I76" s="39"/>
      <c r="J76" s="12" t="s">
        <v>20</v>
      </c>
      <c r="K76" s="12" t="s">
        <v>83</v>
      </c>
      <c r="L76" s="39"/>
      <c r="M76" s="16" t="s">
        <v>194</v>
      </c>
      <c r="N76" s="12"/>
      <c r="O76" s="39" t="s">
        <v>195</v>
      </c>
      <c r="P76" s="39"/>
      <c r="Q76" s="39" t="s">
        <v>54</v>
      </c>
    </row>
    <row r="77" spans="1:17" ht="28.5" x14ac:dyDescent="0.45">
      <c r="A77" s="14">
        <v>55</v>
      </c>
      <c r="B77" s="16" t="s">
        <v>187</v>
      </c>
      <c r="C77" s="16" t="s">
        <v>18</v>
      </c>
      <c r="D77" s="16" t="s">
        <v>19</v>
      </c>
      <c r="E77" s="16" t="s">
        <v>20</v>
      </c>
      <c r="F77" s="11" t="s">
        <v>196</v>
      </c>
      <c r="G77" s="15">
        <v>46100</v>
      </c>
      <c r="H77" s="18" t="s">
        <v>42</v>
      </c>
      <c r="I77" s="39" t="s">
        <v>197</v>
      </c>
      <c r="J77" s="12" t="s">
        <v>37</v>
      </c>
      <c r="K77" s="12"/>
      <c r="L77" s="39"/>
      <c r="M77" s="43" t="s">
        <v>198</v>
      </c>
      <c r="N77" s="12"/>
      <c r="O77" s="39" t="s">
        <v>102</v>
      </c>
      <c r="P77" s="39"/>
      <c r="Q77" s="39" t="s">
        <v>27</v>
      </c>
    </row>
    <row r="78" spans="1:17" ht="42.75" x14ac:dyDescent="0.45">
      <c r="A78" s="14">
        <v>56</v>
      </c>
      <c r="B78" s="16" t="s">
        <v>187</v>
      </c>
      <c r="C78" s="16" t="s">
        <v>18</v>
      </c>
      <c r="D78" s="16" t="s">
        <v>50</v>
      </c>
      <c r="E78" s="16" t="s">
        <v>57</v>
      </c>
      <c r="F78" s="11" t="s">
        <v>199</v>
      </c>
      <c r="G78" s="15">
        <v>46100</v>
      </c>
      <c r="H78" s="18" t="s">
        <v>42</v>
      </c>
      <c r="I78" s="39" t="s">
        <v>23</v>
      </c>
      <c r="J78" s="12"/>
      <c r="K78" s="12"/>
      <c r="L78" s="39"/>
      <c r="M78" s="43"/>
      <c r="N78" s="12"/>
      <c r="O78" s="39" t="s">
        <v>102</v>
      </c>
      <c r="P78" s="39"/>
      <c r="Q78" s="39" t="s">
        <v>54</v>
      </c>
    </row>
    <row r="79" spans="1:17" x14ac:dyDescent="0.45">
      <c r="A79" s="78">
        <v>57</v>
      </c>
      <c r="B79" s="79" t="s">
        <v>187</v>
      </c>
      <c r="C79" s="79" t="s">
        <v>18</v>
      </c>
      <c r="D79" s="79" t="s">
        <v>19</v>
      </c>
      <c r="E79" s="79" t="s">
        <v>20</v>
      </c>
      <c r="F79" s="19" t="s">
        <v>200</v>
      </c>
      <c r="G79" s="75">
        <v>46100</v>
      </c>
      <c r="H79" s="80" t="s">
        <v>42</v>
      </c>
      <c r="I79" s="77" t="s">
        <v>23</v>
      </c>
      <c r="J79" s="69"/>
      <c r="K79" s="69"/>
      <c r="L79" s="65"/>
      <c r="M79" s="66"/>
      <c r="N79" s="69"/>
      <c r="O79" s="77" t="s">
        <v>59</v>
      </c>
      <c r="P79" s="65"/>
      <c r="Q79" s="77" t="s">
        <v>60</v>
      </c>
    </row>
    <row r="80" spans="1:17" x14ac:dyDescent="0.45">
      <c r="A80" s="78"/>
      <c r="B80" s="79"/>
      <c r="C80" s="79"/>
      <c r="D80" s="79"/>
      <c r="E80" s="79"/>
      <c r="F80" s="10"/>
      <c r="G80" s="75"/>
      <c r="H80" s="80"/>
      <c r="I80" s="77"/>
      <c r="J80" s="69"/>
      <c r="K80" s="69"/>
      <c r="L80" s="65"/>
      <c r="M80" s="66"/>
      <c r="N80" s="69"/>
      <c r="O80" s="77"/>
      <c r="P80" s="65"/>
      <c r="Q80" s="77"/>
    </row>
    <row r="81" spans="1:17" x14ac:dyDescent="0.45">
      <c r="A81" s="78"/>
      <c r="B81" s="79"/>
      <c r="C81" s="79"/>
      <c r="D81" s="79"/>
      <c r="E81" s="79"/>
      <c r="F81" s="19" t="s">
        <v>201</v>
      </c>
      <c r="G81" s="75"/>
      <c r="H81" s="80"/>
      <c r="I81" s="77"/>
      <c r="J81" s="69"/>
      <c r="K81" s="69"/>
      <c r="L81" s="65"/>
      <c r="M81" s="66"/>
      <c r="N81" s="69"/>
      <c r="O81" s="77"/>
      <c r="P81" s="65"/>
      <c r="Q81" s="77"/>
    </row>
    <row r="82" spans="1:17" ht="28.5" x14ac:dyDescent="0.45">
      <c r="A82" s="78"/>
      <c r="B82" s="79"/>
      <c r="C82" s="79"/>
      <c r="D82" s="79"/>
      <c r="E82" s="79"/>
      <c r="F82" s="19" t="s">
        <v>202</v>
      </c>
      <c r="G82" s="75"/>
      <c r="H82" s="80"/>
      <c r="I82" s="77"/>
      <c r="J82" s="69"/>
      <c r="K82" s="69"/>
      <c r="L82" s="65"/>
      <c r="M82" s="66"/>
      <c r="N82" s="69"/>
      <c r="O82" s="77"/>
      <c r="P82" s="65"/>
      <c r="Q82" s="77"/>
    </row>
    <row r="83" spans="1:17" x14ac:dyDescent="0.45">
      <c r="A83" s="78"/>
      <c r="B83" s="79"/>
      <c r="C83" s="79"/>
      <c r="D83" s="79"/>
      <c r="E83" s="79"/>
      <c r="F83" s="10"/>
      <c r="G83" s="75"/>
      <c r="H83" s="80"/>
      <c r="I83" s="77"/>
      <c r="J83" s="69"/>
      <c r="K83" s="69"/>
      <c r="L83" s="65"/>
      <c r="M83" s="66"/>
      <c r="N83" s="69"/>
      <c r="O83" s="77"/>
      <c r="P83" s="65"/>
      <c r="Q83" s="77"/>
    </row>
    <row r="84" spans="1:17" x14ac:dyDescent="0.45">
      <c r="A84" s="78"/>
      <c r="B84" s="79"/>
      <c r="C84" s="79"/>
      <c r="D84" s="79"/>
      <c r="E84" s="79"/>
      <c r="F84" s="19" t="s">
        <v>203</v>
      </c>
      <c r="G84" s="75"/>
      <c r="H84" s="80"/>
      <c r="I84" s="77"/>
      <c r="J84" s="69"/>
      <c r="K84" s="69"/>
      <c r="L84" s="65"/>
      <c r="M84" s="66"/>
      <c r="N84" s="69"/>
      <c r="O84" s="77"/>
      <c r="P84" s="65"/>
      <c r="Q84" s="77"/>
    </row>
    <row r="85" spans="1:17" ht="28.5" x14ac:dyDescent="0.45">
      <c r="A85" s="78"/>
      <c r="B85" s="79"/>
      <c r="C85" s="79"/>
      <c r="D85" s="79"/>
      <c r="E85" s="79"/>
      <c r="F85" s="19" t="s">
        <v>204</v>
      </c>
      <c r="G85" s="75"/>
      <c r="H85" s="80"/>
      <c r="I85" s="77"/>
      <c r="J85" s="69"/>
      <c r="K85" s="69"/>
      <c r="L85" s="65"/>
      <c r="M85" s="66"/>
      <c r="N85" s="69"/>
      <c r="O85" s="77"/>
      <c r="P85" s="65"/>
      <c r="Q85" s="77"/>
    </row>
    <row r="86" spans="1:17" ht="28.5" x14ac:dyDescent="0.45">
      <c r="A86" s="14">
        <v>58</v>
      </c>
      <c r="B86" s="16" t="s">
        <v>28</v>
      </c>
      <c r="C86" s="16" t="s">
        <v>205</v>
      </c>
      <c r="D86" s="16" t="s">
        <v>50</v>
      </c>
      <c r="E86" s="16" t="s">
        <v>57</v>
      </c>
      <c r="F86" s="11" t="s">
        <v>206</v>
      </c>
      <c r="G86" s="15">
        <v>46101</v>
      </c>
      <c r="H86" s="18" t="s">
        <v>207</v>
      </c>
      <c r="I86" s="39" t="s">
        <v>23</v>
      </c>
      <c r="J86" s="12" t="s">
        <v>66</v>
      </c>
      <c r="K86" s="12"/>
      <c r="L86" s="39"/>
      <c r="M86" s="16" t="s">
        <v>208</v>
      </c>
      <c r="N86" s="12"/>
      <c r="O86" s="39" t="s">
        <v>146</v>
      </c>
      <c r="P86" s="39"/>
      <c r="Q86" s="39" t="s">
        <v>54</v>
      </c>
    </row>
    <row r="87" spans="1:17" x14ac:dyDescent="0.45">
      <c r="A87" s="14">
        <v>59</v>
      </c>
      <c r="B87" s="16" t="s">
        <v>28</v>
      </c>
      <c r="C87" s="16" t="s">
        <v>205</v>
      </c>
      <c r="D87" s="16" t="s">
        <v>50</v>
      </c>
      <c r="E87" s="16" t="s">
        <v>57</v>
      </c>
      <c r="F87" s="11" t="s">
        <v>209</v>
      </c>
      <c r="G87" s="15">
        <v>46101</v>
      </c>
      <c r="H87" s="18" t="s">
        <v>207</v>
      </c>
      <c r="I87" s="39" t="s">
        <v>23</v>
      </c>
      <c r="J87" s="12" t="s">
        <v>20</v>
      </c>
      <c r="K87" s="12"/>
      <c r="L87" s="39"/>
      <c r="M87" s="16" t="s">
        <v>208</v>
      </c>
      <c r="N87" s="12"/>
      <c r="O87" s="39" t="s">
        <v>146</v>
      </c>
      <c r="P87" s="39"/>
      <c r="Q87" s="39" t="s">
        <v>54</v>
      </c>
    </row>
    <row r="88" spans="1:17" x14ac:dyDescent="0.45">
      <c r="A88" s="14">
        <v>60</v>
      </c>
      <c r="B88" s="16" t="s">
        <v>28</v>
      </c>
      <c r="C88" s="16" t="s">
        <v>205</v>
      </c>
      <c r="D88" s="16" t="s">
        <v>50</v>
      </c>
      <c r="E88" s="16" t="s">
        <v>57</v>
      </c>
      <c r="F88" s="11" t="s">
        <v>210</v>
      </c>
      <c r="G88" s="15">
        <v>46101</v>
      </c>
      <c r="H88" s="18" t="s">
        <v>207</v>
      </c>
      <c r="I88" s="39" t="s">
        <v>23</v>
      </c>
      <c r="J88" s="12" t="s">
        <v>66</v>
      </c>
      <c r="K88" s="12"/>
      <c r="L88" s="39"/>
      <c r="M88" s="16" t="s">
        <v>208</v>
      </c>
      <c r="N88" s="12"/>
      <c r="O88" s="39" t="s">
        <v>146</v>
      </c>
      <c r="P88" s="39"/>
      <c r="Q88" s="39" t="s">
        <v>54</v>
      </c>
    </row>
    <row r="89" spans="1:17" x14ac:dyDescent="0.45">
      <c r="A89" s="74">
        <v>61</v>
      </c>
      <c r="B89" s="74" t="s">
        <v>168</v>
      </c>
      <c r="C89" s="74" t="s">
        <v>18</v>
      </c>
      <c r="D89" s="74" t="s">
        <v>19</v>
      </c>
      <c r="E89" s="74" t="s">
        <v>20</v>
      </c>
      <c r="F89" s="19" t="s">
        <v>211</v>
      </c>
      <c r="G89" s="75">
        <v>46105</v>
      </c>
      <c r="H89" s="76" t="s">
        <v>42</v>
      </c>
      <c r="I89" s="76" t="s">
        <v>23</v>
      </c>
      <c r="J89" s="76" t="s">
        <v>37</v>
      </c>
      <c r="K89" s="67"/>
      <c r="L89" s="65"/>
      <c r="M89" s="82" t="s">
        <v>213</v>
      </c>
      <c r="N89" s="69"/>
      <c r="O89" s="77" t="s">
        <v>59</v>
      </c>
      <c r="P89" s="65"/>
      <c r="Q89" s="77" t="s">
        <v>60</v>
      </c>
    </row>
    <row r="90" spans="1:17" x14ac:dyDescent="0.45">
      <c r="A90" s="74"/>
      <c r="B90" s="74"/>
      <c r="C90" s="74"/>
      <c r="D90" s="74"/>
      <c r="E90" s="74"/>
      <c r="F90" s="49" t="s">
        <v>212</v>
      </c>
      <c r="G90" s="75"/>
      <c r="H90" s="76"/>
      <c r="I90" s="76"/>
      <c r="J90" s="76"/>
      <c r="K90" s="67"/>
      <c r="L90" s="65"/>
      <c r="M90" s="82"/>
      <c r="N90" s="69"/>
      <c r="O90" s="77"/>
      <c r="P90" s="65"/>
      <c r="Q90" s="77"/>
    </row>
    <row r="91" spans="1:17" ht="28.5" x14ac:dyDescent="0.45">
      <c r="A91" s="12">
        <v>62</v>
      </c>
      <c r="B91" s="12" t="s">
        <v>28</v>
      </c>
      <c r="C91" s="12" t="s">
        <v>205</v>
      </c>
      <c r="D91" s="12" t="s">
        <v>50</v>
      </c>
      <c r="E91" s="12" t="s">
        <v>57</v>
      </c>
      <c r="F91" s="11" t="s">
        <v>214</v>
      </c>
      <c r="G91" s="15">
        <v>46105</v>
      </c>
      <c r="H91" s="6" t="s">
        <v>207</v>
      </c>
      <c r="I91" s="6" t="s">
        <v>23</v>
      </c>
      <c r="J91" s="6" t="s">
        <v>20</v>
      </c>
      <c r="K91" s="12"/>
      <c r="L91" s="39"/>
      <c r="M91" s="16" t="s">
        <v>215</v>
      </c>
      <c r="N91" s="12"/>
      <c r="O91" s="39" t="s">
        <v>63</v>
      </c>
      <c r="P91" s="39"/>
      <c r="Q91" s="39" t="s">
        <v>27</v>
      </c>
    </row>
    <row r="92" spans="1:17" ht="42.75" x14ac:dyDescent="0.45">
      <c r="A92" s="69">
        <v>63</v>
      </c>
      <c r="B92" s="69" t="s">
        <v>216</v>
      </c>
      <c r="C92" s="69" t="s">
        <v>18</v>
      </c>
      <c r="D92" s="69" t="s">
        <v>19</v>
      </c>
      <c r="E92" s="69" t="s">
        <v>20</v>
      </c>
      <c r="F92" s="11" t="s">
        <v>217</v>
      </c>
      <c r="G92" s="70">
        <v>46105</v>
      </c>
      <c r="H92" s="67" t="s">
        <v>42</v>
      </c>
      <c r="I92" s="67" t="s">
        <v>23</v>
      </c>
      <c r="J92" s="67" t="s">
        <v>20</v>
      </c>
      <c r="K92" s="69"/>
      <c r="L92" s="65"/>
      <c r="M92" s="66" t="s">
        <v>219</v>
      </c>
      <c r="N92" s="69"/>
      <c r="O92" s="65" t="s">
        <v>102</v>
      </c>
      <c r="P92" s="65"/>
      <c r="Q92" s="65" t="s">
        <v>54</v>
      </c>
    </row>
    <row r="93" spans="1:17" ht="28.5" x14ac:dyDescent="0.45">
      <c r="A93" s="69"/>
      <c r="B93" s="69"/>
      <c r="C93" s="69"/>
      <c r="D93" s="69"/>
      <c r="E93" s="69"/>
      <c r="F93" s="11" t="s">
        <v>218</v>
      </c>
      <c r="G93" s="70"/>
      <c r="H93" s="67"/>
      <c r="I93" s="67"/>
      <c r="J93" s="67"/>
      <c r="K93" s="69"/>
      <c r="L93" s="65"/>
      <c r="M93" s="66"/>
      <c r="N93" s="69"/>
      <c r="O93" s="65"/>
      <c r="P93" s="65"/>
      <c r="Q93" s="65"/>
    </row>
    <row r="94" spans="1:17" ht="42.75" x14ac:dyDescent="0.45">
      <c r="A94" s="14">
        <v>64</v>
      </c>
      <c r="B94" s="16" t="s">
        <v>35</v>
      </c>
      <c r="C94" s="12" t="s">
        <v>18</v>
      </c>
      <c r="D94" s="12" t="s">
        <v>19</v>
      </c>
      <c r="E94" s="12" t="s">
        <v>20</v>
      </c>
      <c r="F94" s="11" t="s">
        <v>220</v>
      </c>
      <c r="G94" s="15">
        <v>46108</v>
      </c>
      <c r="H94" s="18" t="s">
        <v>22</v>
      </c>
      <c r="I94" s="6" t="s">
        <v>23</v>
      </c>
      <c r="J94" s="12" t="s">
        <v>20</v>
      </c>
      <c r="K94" s="12"/>
      <c r="L94" s="39"/>
      <c r="M94" s="16"/>
      <c r="N94" s="12"/>
      <c r="O94" s="39" t="s">
        <v>108</v>
      </c>
      <c r="P94" s="39"/>
      <c r="Q94" s="39" t="s">
        <v>27</v>
      </c>
    </row>
    <row r="95" spans="1:17" x14ac:dyDescent="0.45">
      <c r="A95" s="68">
        <v>65</v>
      </c>
      <c r="B95" s="66" t="s">
        <v>221</v>
      </c>
      <c r="C95" s="69" t="s">
        <v>18</v>
      </c>
      <c r="D95" s="69" t="s">
        <v>19</v>
      </c>
      <c r="E95" s="69" t="s">
        <v>20</v>
      </c>
      <c r="F95" s="11" t="s">
        <v>222</v>
      </c>
      <c r="G95" s="70">
        <v>46108</v>
      </c>
      <c r="H95" s="73" t="s">
        <v>207</v>
      </c>
      <c r="I95" s="65" t="s">
        <v>88</v>
      </c>
      <c r="J95" s="69" t="s">
        <v>20</v>
      </c>
      <c r="K95" s="69" t="s">
        <v>24</v>
      </c>
      <c r="L95" s="65"/>
      <c r="M95" s="66" t="s">
        <v>227</v>
      </c>
      <c r="N95" s="69"/>
      <c r="O95" s="65" t="s">
        <v>111</v>
      </c>
      <c r="P95" s="65"/>
      <c r="Q95" s="65" t="s">
        <v>54</v>
      </c>
    </row>
    <row r="96" spans="1:17" x14ac:dyDescent="0.45">
      <c r="A96" s="68"/>
      <c r="B96" s="66"/>
      <c r="C96" s="69"/>
      <c r="D96" s="69"/>
      <c r="E96" s="69"/>
      <c r="F96" s="11" t="s">
        <v>223</v>
      </c>
      <c r="G96" s="70"/>
      <c r="H96" s="73"/>
      <c r="I96" s="65"/>
      <c r="J96" s="69"/>
      <c r="K96" s="69"/>
      <c r="L96" s="65"/>
      <c r="M96" s="66"/>
      <c r="N96" s="69"/>
      <c r="O96" s="65"/>
      <c r="P96" s="65"/>
      <c r="Q96" s="65"/>
    </row>
    <row r="97" spans="1:17" x14ac:dyDescent="0.45">
      <c r="A97" s="68"/>
      <c r="B97" s="66"/>
      <c r="C97" s="69"/>
      <c r="D97" s="69"/>
      <c r="E97" s="69"/>
      <c r="F97" s="11" t="s">
        <v>224</v>
      </c>
      <c r="G97" s="70"/>
      <c r="H97" s="73"/>
      <c r="I97" s="65"/>
      <c r="J97" s="69"/>
      <c r="K97" s="69"/>
      <c r="L97" s="65"/>
      <c r="M97" s="66"/>
      <c r="N97" s="69"/>
      <c r="O97" s="65"/>
      <c r="P97" s="65"/>
      <c r="Q97" s="65"/>
    </row>
    <row r="98" spans="1:17" x14ac:dyDescent="0.45">
      <c r="A98" s="68"/>
      <c r="B98" s="66"/>
      <c r="C98" s="69"/>
      <c r="D98" s="69"/>
      <c r="E98" s="69"/>
      <c r="F98" s="11" t="s">
        <v>225</v>
      </c>
      <c r="G98" s="70"/>
      <c r="H98" s="73"/>
      <c r="I98" s="65"/>
      <c r="J98" s="69"/>
      <c r="K98" s="69"/>
      <c r="L98" s="65"/>
      <c r="M98" s="66"/>
      <c r="N98" s="69"/>
      <c r="O98" s="65"/>
      <c r="P98" s="65"/>
      <c r="Q98" s="65"/>
    </row>
    <row r="99" spans="1:17" x14ac:dyDescent="0.45">
      <c r="A99" s="68"/>
      <c r="B99" s="66"/>
      <c r="C99" s="69"/>
      <c r="D99" s="69"/>
      <c r="E99" s="69"/>
      <c r="F99" s="11" t="s">
        <v>226</v>
      </c>
      <c r="G99" s="70"/>
      <c r="H99" s="73"/>
      <c r="I99" s="65"/>
      <c r="J99" s="69"/>
      <c r="K99" s="69"/>
      <c r="L99" s="65"/>
      <c r="M99" s="66"/>
      <c r="N99" s="69"/>
      <c r="O99" s="65"/>
      <c r="P99" s="65"/>
      <c r="Q99" s="65"/>
    </row>
    <row r="100" spans="1:17" x14ac:dyDescent="0.45">
      <c r="A100" s="14">
        <v>66</v>
      </c>
      <c r="B100" s="16" t="s">
        <v>228</v>
      </c>
      <c r="C100" s="16" t="s">
        <v>18</v>
      </c>
      <c r="D100" s="16" t="s">
        <v>19</v>
      </c>
      <c r="E100" s="16" t="s">
        <v>20</v>
      </c>
      <c r="F100" s="11" t="s">
        <v>229</v>
      </c>
      <c r="G100" s="15">
        <v>46113</v>
      </c>
      <c r="H100" s="18" t="s">
        <v>22</v>
      </c>
      <c r="I100" s="39" t="s">
        <v>23</v>
      </c>
      <c r="J100" s="12" t="s">
        <v>20</v>
      </c>
      <c r="K100" s="12" t="s">
        <v>83</v>
      </c>
      <c r="L100" s="39"/>
      <c r="M100" s="16"/>
      <c r="N100" s="12"/>
      <c r="O100" s="39" t="s">
        <v>111</v>
      </c>
      <c r="P100" s="39"/>
      <c r="Q100" s="39" t="s">
        <v>54</v>
      </c>
    </row>
    <row r="101" spans="1:17" x14ac:dyDescent="0.45">
      <c r="A101" s="14">
        <v>67</v>
      </c>
      <c r="B101" s="16" t="s">
        <v>221</v>
      </c>
      <c r="C101" s="12" t="s">
        <v>18</v>
      </c>
      <c r="D101" s="12" t="s">
        <v>19</v>
      </c>
      <c r="E101" s="12" t="s">
        <v>20</v>
      </c>
      <c r="F101" s="11" t="s">
        <v>230</v>
      </c>
      <c r="G101" s="15">
        <v>46113</v>
      </c>
      <c r="H101" s="18" t="s">
        <v>22</v>
      </c>
      <c r="I101" s="39" t="s">
        <v>23</v>
      </c>
      <c r="J101" s="12" t="s">
        <v>20</v>
      </c>
      <c r="K101" s="12" t="s">
        <v>24</v>
      </c>
      <c r="L101" s="39"/>
      <c r="M101" s="16"/>
      <c r="N101" s="12"/>
      <c r="O101" s="39" t="s">
        <v>111</v>
      </c>
      <c r="P101" s="39"/>
      <c r="Q101" s="39" t="s">
        <v>54</v>
      </c>
    </row>
    <row r="102" spans="1:17" ht="28.5" x14ac:dyDescent="0.45">
      <c r="A102" s="14">
        <v>68</v>
      </c>
      <c r="B102" s="16" t="s">
        <v>221</v>
      </c>
      <c r="C102" s="12" t="s">
        <v>18</v>
      </c>
      <c r="D102" s="12" t="s">
        <v>19</v>
      </c>
      <c r="E102" s="12" t="s">
        <v>20</v>
      </c>
      <c r="F102" s="11" t="s">
        <v>231</v>
      </c>
      <c r="G102" s="15">
        <v>46113</v>
      </c>
      <c r="H102" s="18" t="s">
        <v>22</v>
      </c>
      <c r="I102" s="39" t="s">
        <v>88</v>
      </c>
      <c r="J102" s="12" t="s">
        <v>20</v>
      </c>
      <c r="K102" s="12" t="s">
        <v>24</v>
      </c>
      <c r="L102" s="39"/>
      <c r="M102" s="16"/>
      <c r="N102" s="12"/>
      <c r="O102" s="39" t="s">
        <v>108</v>
      </c>
      <c r="P102" s="39"/>
      <c r="Q102" s="39" t="s">
        <v>54</v>
      </c>
    </row>
    <row r="103" spans="1:17" ht="42.75" x14ac:dyDescent="0.45">
      <c r="A103" s="14">
        <v>69</v>
      </c>
      <c r="B103" s="16" t="s">
        <v>125</v>
      </c>
      <c r="C103" s="16" t="s">
        <v>18</v>
      </c>
      <c r="D103" s="16" t="s">
        <v>19</v>
      </c>
      <c r="E103" s="16" t="s">
        <v>20</v>
      </c>
      <c r="F103" s="11" t="s">
        <v>232</v>
      </c>
      <c r="G103" s="15">
        <v>46113</v>
      </c>
      <c r="H103" s="18" t="s">
        <v>22</v>
      </c>
      <c r="I103" s="39" t="s">
        <v>23</v>
      </c>
      <c r="J103" s="12" t="s">
        <v>66</v>
      </c>
      <c r="K103" s="12"/>
      <c r="L103" s="39"/>
      <c r="M103" s="16"/>
      <c r="N103" s="12"/>
      <c r="O103" s="39" t="s">
        <v>195</v>
      </c>
      <c r="P103" s="39"/>
      <c r="Q103" s="39"/>
    </row>
    <row r="104" spans="1:17" x14ac:dyDescent="0.45">
      <c r="A104" s="68">
        <v>70</v>
      </c>
      <c r="B104" s="66" t="s">
        <v>233</v>
      </c>
      <c r="C104" s="66" t="s">
        <v>18</v>
      </c>
      <c r="D104" s="66" t="s">
        <v>19</v>
      </c>
      <c r="E104" s="66" t="s">
        <v>20</v>
      </c>
      <c r="F104" s="11" t="s">
        <v>234</v>
      </c>
      <c r="G104" s="70">
        <v>46057</v>
      </c>
      <c r="H104" s="83" t="s">
        <v>42</v>
      </c>
      <c r="I104" s="84" t="s">
        <v>23</v>
      </c>
      <c r="J104" s="67" t="s">
        <v>20</v>
      </c>
      <c r="K104" s="67" t="s">
        <v>236</v>
      </c>
      <c r="L104" s="84"/>
      <c r="M104" s="84" t="s">
        <v>27</v>
      </c>
      <c r="N104" s="67"/>
      <c r="O104" s="84" t="s">
        <v>121</v>
      </c>
      <c r="P104" s="84"/>
      <c r="Q104" s="84"/>
    </row>
    <row r="105" spans="1:17" x14ac:dyDescent="0.45">
      <c r="A105" s="68"/>
      <c r="B105" s="66"/>
      <c r="C105" s="66"/>
      <c r="D105" s="66"/>
      <c r="E105" s="66"/>
      <c r="F105" s="11" t="s">
        <v>235</v>
      </c>
      <c r="G105" s="70"/>
      <c r="H105" s="83"/>
      <c r="I105" s="84"/>
      <c r="J105" s="67"/>
      <c r="K105" s="67"/>
      <c r="L105" s="84"/>
      <c r="M105" s="84"/>
      <c r="N105" s="67"/>
      <c r="O105" s="84"/>
      <c r="P105" s="84"/>
      <c r="Q105" s="84"/>
    </row>
    <row r="106" spans="1:17" x14ac:dyDescent="0.45">
      <c r="A106" s="14">
        <v>71</v>
      </c>
      <c r="B106" s="16" t="s">
        <v>221</v>
      </c>
      <c r="C106" s="16" t="s">
        <v>18</v>
      </c>
      <c r="D106" s="16" t="s">
        <v>19</v>
      </c>
      <c r="E106" s="16" t="s">
        <v>20</v>
      </c>
      <c r="F106" s="8" t="s">
        <v>237</v>
      </c>
      <c r="G106" s="15">
        <v>46114</v>
      </c>
      <c r="H106" s="18" t="s">
        <v>238</v>
      </c>
      <c r="I106" s="39"/>
      <c r="J106" s="39" t="s">
        <v>20</v>
      </c>
      <c r="K106" s="39" t="s">
        <v>24</v>
      </c>
      <c r="L106" s="39"/>
      <c r="M106" s="39" t="s">
        <v>239</v>
      </c>
      <c r="N106" s="39"/>
      <c r="O106" s="39" t="s">
        <v>63</v>
      </c>
      <c r="P106" s="39"/>
      <c r="Q106" s="39"/>
    </row>
    <row r="107" spans="1:17" x14ac:dyDescent="0.45">
      <c r="A107" s="14">
        <v>72</v>
      </c>
      <c r="B107" s="16" t="s">
        <v>221</v>
      </c>
      <c r="C107" s="16" t="s">
        <v>18</v>
      </c>
      <c r="D107" s="16" t="s">
        <v>19</v>
      </c>
      <c r="E107" s="16" t="s">
        <v>20</v>
      </c>
      <c r="F107" s="11" t="s">
        <v>240</v>
      </c>
      <c r="G107" s="15">
        <v>46114</v>
      </c>
      <c r="H107" s="18" t="s">
        <v>238</v>
      </c>
      <c r="I107" s="39"/>
      <c r="J107" s="12" t="s">
        <v>20</v>
      </c>
      <c r="K107" s="12" t="s">
        <v>83</v>
      </c>
      <c r="L107" s="39"/>
      <c r="M107" s="16" t="s">
        <v>241</v>
      </c>
      <c r="N107" s="12"/>
      <c r="O107" s="39" t="s">
        <v>102</v>
      </c>
      <c r="P107" s="39"/>
      <c r="Q107" s="39"/>
    </row>
    <row r="108" spans="1:17" x14ac:dyDescent="0.45">
      <c r="A108" s="14">
        <v>73</v>
      </c>
      <c r="B108" s="16" t="s">
        <v>242</v>
      </c>
      <c r="C108" s="16" t="s">
        <v>18</v>
      </c>
      <c r="D108" s="16" t="s">
        <v>19</v>
      </c>
      <c r="E108" s="16" t="s">
        <v>20</v>
      </c>
      <c r="F108" s="11" t="s">
        <v>243</v>
      </c>
      <c r="G108" s="15">
        <v>46114</v>
      </c>
      <c r="H108" s="18" t="s">
        <v>238</v>
      </c>
      <c r="I108" s="39"/>
      <c r="J108" s="12" t="s">
        <v>20</v>
      </c>
      <c r="K108" s="12" t="s">
        <v>24</v>
      </c>
      <c r="L108" s="39"/>
      <c r="M108" s="16" t="s">
        <v>244</v>
      </c>
      <c r="N108" s="12"/>
      <c r="O108" s="39" t="s">
        <v>48</v>
      </c>
      <c r="P108" s="39"/>
      <c r="Q108" s="39"/>
    </row>
    <row r="109" spans="1:17" x14ac:dyDescent="0.45">
      <c r="A109" s="14">
        <v>74</v>
      </c>
      <c r="B109" s="16" t="s">
        <v>242</v>
      </c>
      <c r="C109" s="16" t="s">
        <v>18</v>
      </c>
      <c r="D109" s="16" t="s">
        <v>19</v>
      </c>
      <c r="E109" s="16" t="s">
        <v>20</v>
      </c>
      <c r="F109" s="11" t="s">
        <v>245</v>
      </c>
      <c r="G109" s="15">
        <v>46114</v>
      </c>
      <c r="H109" s="18" t="s">
        <v>238</v>
      </c>
      <c r="I109" s="39"/>
      <c r="J109" s="12" t="s">
        <v>20</v>
      </c>
      <c r="K109" s="12" t="s">
        <v>83</v>
      </c>
      <c r="L109" s="39"/>
      <c r="M109" s="16" t="s">
        <v>246</v>
      </c>
      <c r="N109" s="12"/>
      <c r="O109" s="39" t="s">
        <v>48</v>
      </c>
      <c r="P109" s="39"/>
      <c r="Q109" s="39"/>
    </row>
    <row r="110" spans="1:17" x14ac:dyDescent="0.45">
      <c r="A110" s="14">
        <v>75</v>
      </c>
      <c r="B110" s="16" t="s">
        <v>242</v>
      </c>
      <c r="C110" s="16" t="s">
        <v>18</v>
      </c>
      <c r="D110" s="16" t="s">
        <v>19</v>
      </c>
      <c r="E110" s="16" t="s">
        <v>20</v>
      </c>
      <c r="F110" s="11" t="s">
        <v>247</v>
      </c>
      <c r="G110" s="15">
        <v>46114</v>
      </c>
      <c r="H110" s="18" t="s">
        <v>238</v>
      </c>
      <c r="I110" s="39"/>
      <c r="J110" s="12" t="s">
        <v>20</v>
      </c>
      <c r="K110" s="12" t="s">
        <v>24</v>
      </c>
      <c r="L110" s="39"/>
      <c r="M110" s="16" t="s">
        <v>248</v>
      </c>
      <c r="N110" s="12"/>
      <c r="O110" s="39" t="s">
        <v>48</v>
      </c>
      <c r="P110" s="39"/>
      <c r="Q110" s="39"/>
    </row>
    <row r="111" spans="1:17" x14ac:dyDescent="0.45">
      <c r="A111" s="14">
        <v>76</v>
      </c>
      <c r="B111" s="16" t="s">
        <v>249</v>
      </c>
      <c r="C111" s="16" t="s">
        <v>18</v>
      </c>
      <c r="D111" s="16" t="s">
        <v>19</v>
      </c>
      <c r="E111" s="16" t="s">
        <v>20</v>
      </c>
      <c r="F111" s="11" t="s">
        <v>250</v>
      </c>
      <c r="G111" s="15">
        <v>46114</v>
      </c>
      <c r="H111" s="18" t="s">
        <v>238</v>
      </c>
      <c r="I111" s="39"/>
      <c r="J111" s="12" t="s">
        <v>20</v>
      </c>
      <c r="K111" s="12" t="s">
        <v>83</v>
      </c>
      <c r="L111" s="39"/>
      <c r="M111" s="16" t="s">
        <v>251</v>
      </c>
      <c r="N111" s="12"/>
      <c r="O111" s="39" t="s">
        <v>102</v>
      </c>
      <c r="P111" s="39"/>
      <c r="Q111" s="39"/>
    </row>
    <row r="112" spans="1:17" x14ac:dyDescent="0.45">
      <c r="A112" s="78">
        <v>77</v>
      </c>
      <c r="B112" s="79" t="s">
        <v>242</v>
      </c>
      <c r="C112" s="79" t="s">
        <v>18</v>
      </c>
      <c r="D112" s="79" t="s">
        <v>19</v>
      </c>
      <c r="E112" s="79" t="s">
        <v>20</v>
      </c>
      <c r="F112" s="19" t="s">
        <v>252</v>
      </c>
      <c r="G112" s="75">
        <v>46114</v>
      </c>
      <c r="H112" s="80" t="s">
        <v>238</v>
      </c>
      <c r="I112" s="65"/>
      <c r="J112" s="69" t="s">
        <v>20</v>
      </c>
      <c r="K112" s="69" t="s">
        <v>24</v>
      </c>
      <c r="L112" s="65"/>
      <c r="M112" s="66"/>
      <c r="N112" s="69"/>
      <c r="O112" s="77" t="s">
        <v>59</v>
      </c>
      <c r="P112" s="65"/>
      <c r="Q112" s="65" t="s">
        <v>60</v>
      </c>
    </row>
    <row r="113" spans="1:17" x14ac:dyDescent="0.45">
      <c r="A113" s="78"/>
      <c r="B113" s="79"/>
      <c r="C113" s="79"/>
      <c r="D113" s="79"/>
      <c r="E113" s="79"/>
      <c r="F113" s="19" t="s">
        <v>253</v>
      </c>
      <c r="G113" s="75"/>
      <c r="H113" s="80"/>
      <c r="I113" s="65"/>
      <c r="J113" s="69"/>
      <c r="K113" s="69"/>
      <c r="L113" s="65"/>
      <c r="M113" s="66"/>
      <c r="N113" s="69"/>
      <c r="O113" s="77"/>
      <c r="P113" s="65"/>
      <c r="Q113" s="65"/>
    </row>
    <row r="114" spans="1:17" x14ac:dyDescent="0.45">
      <c r="A114" s="14">
        <v>78</v>
      </c>
      <c r="B114" s="16" t="s">
        <v>242</v>
      </c>
      <c r="C114" s="16" t="s">
        <v>18</v>
      </c>
      <c r="D114" s="16" t="s">
        <v>19</v>
      </c>
      <c r="E114" s="16" t="s">
        <v>20</v>
      </c>
      <c r="F114" s="11" t="s">
        <v>254</v>
      </c>
      <c r="G114" s="15">
        <v>46114</v>
      </c>
      <c r="H114" s="18" t="s">
        <v>238</v>
      </c>
      <c r="I114" s="39"/>
      <c r="J114" s="12" t="s">
        <v>37</v>
      </c>
      <c r="K114" s="12"/>
      <c r="L114" s="39"/>
      <c r="M114" s="16" t="s">
        <v>255</v>
      </c>
      <c r="N114" s="12"/>
      <c r="O114" s="39" t="s">
        <v>102</v>
      </c>
      <c r="P114" s="39"/>
      <c r="Q114" s="39"/>
    </row>
    <row r="115" spans="1:17" ht="28.5" x14ac:dyDescent="0.45">
      <c r="A115" s="14">
        <v>79</v>
      </c>
      <c r="B115" s="16" t="s">
        <v>256</v>
      </c>
      <c r="C115" s="16" t="s">
        <v>18</v>
      </c>
      <c r="D115" s="16" t="s">
        <v>19</v>
      </c>
      <c r="E115" s="16" t="s">
        <v>20</v>
      </c>
      <c r="F115" s="11" t="s">
        <v>257</v>
      </c>
      <c r="G115" s="15">
        <v>46114</v>
      </c>
      <c r="H115" s="18" t="s">
        <v>238</v>
      </c>
      <c r="I115" s="39"/>
      <c r="J115" s="12" t="s">
        <v>20</v>
      </c>
      <c r="K115" s="12" t="s">
        <v>24</v>
      </c>
      <c r="L115" s="39"/>
      <c r="M115" s="16" t="s">
        <v>258</v>
      </c>
      <c r="N115" s="12"/>
      <c r="O115" s="39" t="s">
        <v>102</v>
      </c>
      <c r="P115" s="39"/>
      <c r="Q115" s="39"/>
    </row>
    <row r="116" spans="1:17" ht="28.5" x14ac:dyDescent="0.45">
      <c r="A116" s="14">
        <v>80</v>
      </c>
      <c r="B116" s="16" t="s">
        <v>259</v>
      </c>
      <c r="C116" s="16" t="s">
        <v>18</v>
      </c>
      <c r="D116" s="16" t="s">
        <v>19</v>
      </c>
      <c r="E116" s="16" t="s">
        <v>20</v>
      </c>
      <c r="F116" s="11" t="s">
        <v>260</v>
      </c>
      <c r="G116" s="15">
        <v>46114</v>
      </c>
      <c r="H116" s="18" t="s">
        <v>238</v>
      </c>
      <c r="I116" s="39"/>
      <c r="J116" s="12" t="s">
        <v>20</v>
      </c>
      <c r="K116" s="12"/>
      <c r="L116" s="39"/>
      <c r="M116" s="39" t="s">
        <v>261</v>
      </c>
      <c r="N116" s="12"/>
      <c r="O116" s="39" t="s">
        <v>102</v>
      </c>
      <c r="P116" s="39"/>
      <c r="Q116" s="39"/>
    </row>
    <row r="117" spans="1:17" ht="42.75" x14ac:dyDescent="0.45">
      <c r="A117" s="14">
        <v>81</v>
      </c>
      <c r="B117" s="16" t="s">
        <v>262</v>
      </c>
      <c r="C117" s="16" t="s">
        <v>18</v>
      </c>
      <c r="D117" s="16" t="s">
        <v>19</v>
      </c>
      <c r="E117" s="16" t="s">
        <v>20</v>
      </c>
      <c r="F117" s="11" t="s">
        <v>263</v>
      </c>
      <c r="G117" s="15">
        <v>46114</v>
      </c>
      <c r="H117" s="18" t="s">
        <v>238</v>
      </c>
      <c r="I117" s="39"/>
      <c r="J117" s="12" t="s">
        <v>20</v>
      </c>
      <c r="K117" s="12" t="s">
        <v>83</v>
      </c>
      <c r="L117" s="39"/>
      <c r="M117" s="39" t="s">
        <v>264</v>
      </c>
      <c r="N117" s="12"/>
      <c r="O117" s="39" t="s">
        <v>102</v>
      </c>
      <c r="P117" s="39"/>
      <c r="Q117" s="39"/>
    </row>
    <row r="118" spans="1:17" x14ac:dyDescent="0.45">
      <c r="A118" s="68">
        <v>82</v>
      </c>
      <c r="B118" s="66" t="s">
        <v>265</v>
      </c>
      <c r="C118" s="66" t="s">
        <v>18</v>
      </c>
      <c r="D118" s="66" t="s">
        <v>19</v>
      </c>
      <c r="E118" s="66" t="s">
        <v>20</v>
      </c>
      <c r="F118" s="11" t="s">
        <v>266</v>
      </c>
      <c r="G118" s="70">
        <v>46085</v>
      </c>
      <c r="H118" s="83" t="s">
        <v>42</v>
      </c>
      <c r="I118" s="84" t="s">
        <v>23</v>
      </c>
      <c r="J118" s="67" t="s">
        <v>20</v>
      </c>
      <c r="K118" s="67" t="s">
        <v>83</v>
      </c>
      <c r="L118" s="84"/>
      <c r="M118" s="84" t="s">
        <v>268</v>
      </c>
      <c r="N118" s="67"/>
      <c r="O118" s="65" t="s">
        <v>48</v>
      </c>
      <c r="P118" s="84"/>
      <c r="Q118" s="84" t="s">
        <v>27</v>
      </c>
    </row>
    <row r="119" spans="1:17" x14ac:dyDescent="0.45">
      <c r="A119" s="68"/>
      <c r="B119" s="66"/>
      <c r="C119" s="66"/>
      <c r="D119" s="66"/>
      <c r="E119" s="66"/>
      <c r="F119" s="11" t="s">
        <v>267</v>
      </c>
      <c r="G119" s="70"/>
      <c r="H119" s="83"/>
      <c r="I119" s="84"/>
      <c r="J119" s="67"/>
      <c r="K119" s="67"/>
      <c r="L119" s="84"/>
      <c r="M119" s="84"/>
      <c r="N119" s="67"/>
      <c r="O119" s="65"/>
      <c r="P119" s="84"/>
      <c r="Q119" s="84"/>
    </row>
    <row r="120" spans="1:17" x14ac:dyDescent="0.45">
      <c r="A120" s="14">
        <v>83</v>
      </c>
      <c r="B120" s="16" t="s">
        <v>269</v>
      </c>
      <c r="C120" s="16" t="s">
        <v>18</v>
      </c>
      <c r="D120" s="16" t="s">
        <v>19</v>
      </c>
      <c r="E120" s="16" t="s">
        <v>20</v>
      </c>
      <c r="F120" s="11" t="s">
        <v>270</v>
      </c>
      <c r="G120" s="15">
        <v>46115</v>
      </c>
      <c r="H120" s="5" t="s">
        <v>42</v>
      </c>
      <c r="I120" s="22" t="s">
        <v>23</v>
      </c>
      <c r="J120" s="12" t="s">
        <v>20</v>
      </c>
      <c r="K120" s="12" t="s">
        <v>236</v>
      </c>
      <c r="L120" s="39"/>
      <c r="M120" s="16" t="s">
        <v>271</v>
      </c>
      <c r="N120" s="12"/>
      <c r="O120" s="39" t="s">
        <v>102</v>
      </c>
      <c r="P120" s="39"/>
      <c r="Q120" s="39" t="s">
        <v>27</v>
      </c>
    </row>
    <row r="121" spans="1:17" x14ac:dyDescent="0.45">
      <c r="A121" s="47">
        <v>84</v>
      </c>
      <c r="B121" s="42" t="s">
        <v>272</v>
      </c>
      <c r="C121" s="42" t="s">
        <v>18</v>
      </c>
      <c r="D121" s="21" t="s">
        <v>50</v>
      </c>
      <c r="E121" s="16"/>
      <c r="F121" s="19" t="s">
        <v>273</v>
      </c>
      <c r="G121" s="48">
        <v>46118</v>
      </c>
      <c r="H121" s="20" t="s">
        <v>71</v>
      </c>
      <c r="I121" s="25" t="s">
        <v>23</v>
      </c>
      <c r="J121" s="21" t="s">
        <v>37</v>
      </c>
      <c r="K121" s="12"/>
      <c r="L121" s="39"/>
      <c r="M121" s="42" t="s">
        <v>274</v>
      </c>
      <c r="N121" s="12"/>
      <c r="O121" s="40" t="s">
        <v>59</v>
      </c>
      <c r="P121" s="39"/>
      <c r="Q121" s="39" t="s">
        <v>60</v>
      </c>
    </row>
    <row r="122" spans="1:17" x14ac:dyDescent="0.45">
      <c r="A122" s="47">
        <v>85</v>
      </c>
      <c r="B122" s="42" t="s">
        <v>272</v>
      </c>
      <c r="C122" s="42" t="s">
        <v>18</v>
      </c>
      <c r="D122" s="21" t="s">
        <v>50</v>
      </c>
      <c r="E122" s="16"/>
      <c r="F122" s="19" t="s">
        <v>275</v>
      </c>
      <c r="G122" s="48">
        <v>46118</v>
      </c>
      <c r="H122" s="20" t="s">
        <v>71</v>
      </c>
      <c r="I122" s="25" t="s">
        <v>23</v>
      </c>
      <c r="J122" s="21" t="s">
        <v>37</v>
      </c>
      <c r="K122" s="12"/>
      <c r="L122" s="39"/>
      <c r="M122" s="42" t="s">
        <v>276</v>
      </c>
      <c r="N122" s="12"/>
      <c r="O122" s="40" t="s">
        <v>59</v>
      </c>
      <c r="P122" s="39"/>
      <c r="Q122" s="40" t="s">
        <v>60</v>
      </c>
    </row>
    <row r="123" spans="1:17" ht="28.5" x14ac:dyDescent="0.45">
      <c r="A123" s="68">
        <v>86</v>
      </c>
      <c r="B123" s="66" t="s">
        <v>272</v>
      </c>
      <c r="C123" s="66" t="s">
        <v>18</v>
      </c>
      <c r="D123" s="69" t="s">
        <v>50</v>
      </c>
      <c r="E123" s="66"/>
      <c r="F123" s="11" t="s">
        <v>277</v>
      </c>
      <c r="G123" s="70">
        <v>46118</v>
      </c>
      <c r="H123" s="73" t="s">
        <v>71</v>
      </c>
      <c r="I123" s="84" t="s">
        <v>23</v>
      </c>
      <c r="J123" s="69" t="s">
        <v>37</v>
      </c>
      <c r="K123" s="69"/>
      <c r="L123" s="65"/>
      <c r="M123" s="44" t="s">
        <v>279</v>
      </c>
      <c r="N123" s="69"/>
      <c r="O123" s="65" t="s">
        <v>59</v>
      </c>
      <c r="P123" s="65"/>
      <c r="Q123" s="65" t="s">
        <v>60</v>
      </c>
    </row>
    <row r="124" spans="1:17" x14ac:dyDescent="0.45">
      <c r="A124" s="68"/>
      <c r="B124" s="66"/>
      <c r="C124" s="66"/>
      <c r="D124" s="69"/>
      <c r="E124" s="66"/>
      <c r="F124" s="26" t="s">
        <v>278</v>
      </c>
      <c r="G124" s="70"/>
      <c r="H124" s="73"/>
      <c r="I124" s="84"/>
      <c r="J124" s="69"/>
      <c r="K124" s="69"/>
      <c r="L124" s="65"/>
      <c r="M124" s="44" t="s">
        <v>178</v>
      </c>
      <c r="N124" s="69"/>
      <c r="O124" s="65"/>
      <c r="P124" s="65"/>
      <c r="Q124" s="65"/>
    </row>
    <row r="125" spans="1:17" ht="42.75" x14ac:dyDescent="0.45">
      <c r="A125" s="68">
        <v>87</v>
      </c>
      <c r="B125" s="66" t="s">
        <v>272</v>
      </c>
      <c r="C125" s="66" t="s">
        <v>18</v>
      </c>
      <c r="D125" s="69" t="s">
        <v>50</v>
      </c>
      <c r="E125" s="66"/>
      <c r="F125" s="11" t="s">
        <v>280</v>
      </c>
      <c r="G125" s="70">
        <v>46118</v>
      </c>
      <c r="H125" s="73" t="s">
        <v>71</v>
      </c>
      <c r="I125" s="84" t="s">
        <v>23</v>
      </c>
      <c r="J125" s="69" t="s">
        <v>20</v>
      </c>
      <c r="K125" s="69" t="s">
        <v>24</v>
      </c>
      <c r="L125" s="65"/>
      <c r="M125" s="16" t="s">
        <v>282</v>
      </c>
      <c r="N125" s="69"/>
      <c r="O125" s="65" t="s">
        <v>59</v>
      </c>
      <c r="P125" s="65"/>
      <c r="Q125" s="65" t="s">
        <v>60</v>
      </c>
    </row>
    <row r="126" spans="1:17" x14ac:dyDescent="0.45">
      <c r="A126" s="68"/>
      <c r="B126" s="66"/>
      <c r="C126" s="66"/>
      <c r="D126" s="69"/>
      <c r="E126" s="66"/>
      <c r="F126" s="26" t="s">
        <v>281</v>
      </c>
      <c r="G126" s="70"/>
      <c r="H126" s="73"/>
      <c r="I126" s="84"/>
      <c r="J126" s="69"/>
      <c r="K126" s="69"/>
      <c r="L126" s="65"/>
      <c r="M126" s="44" t="s">
        <v>178</v>
      </c>
      <c r="N126" s="69"/>
      <c r="O126" s="65"/>
      <c r="P126" s="65"/>
      <c r="Q126" s="65"/>
    </row>
    <row r="127" spans="1:17" x14ac:dyDescent="0.45">
      <c r="A127" s="68">
        <v>88</v>
      </c>
      <c r="B127" s="66" t="s">
        <v>272</v>
      </c>
      <c r="C127" s="66" t="s">
        <v>18</v>
      </c>
      <c r="D127" s="69" t="s">
        <v>50</v>
      </c>
      <c r="E127" s="66"/>
      <c r="F127" s="11" t="s">
        <v>283</v>
      </c>
      <c r="G127" s="70">
        <v>46118</v>
      </c>
      <c r="H127" s="73" t="s">
        <v>71</v>
      </c>
      <c r="I127" s="84" t="s">
        <v>23</v>
      </c>
      <c r="J127" s="69" t="s">
        <v>66</v>
      </c>
      <c r="K127" s="69"/>
      <c r="L127" s="65"/>
      <c r="M127" s="66" t="s">
        <v>286</v>
      </c>
      <c r="N127" s="69"/>
      <c r="O127" s="65" t="s">
        <v>59</v>
      </c>
      <c r="P127" s="65"/>
      <c r="Q127" s="65" t="s">
        <v>60</v>
      </c>
    </row>
    <row r="128" spans="1:17" x14ac:dyDescent="0.45">
      <c r="A128" s="68"/>
      <c r="B128" s="66"/>
      <c r="C128" s="66"/>
      <c r="D128" s="69"/>
      <c r="E128" s="66"/>
      <c r="F128" s="11" t="s">
        <v>284</v>
      </c>
      <c r="G128" s="70"/>
      <c r="H128" s="73"/>
      <c r="I128" s="84"/>
      <c r="J128" s="69"/>
      <c r="K128" s="69"/>
      <c r="L128" s="65"/>
      <c r="M128" s="66"/>
      <c r="N128" s="69"/>
      <c r="O128" s="65"/>
      <c r="P128" s="65"/>
      <c r="Q128" s="65"/>
    </row>
    <row r="129" spans="1:17" ht="28.5" x14ac:dyDescent="0.45">
      <c r="A129" s="68"/>
      <c r="B129" s="66"/>
      <c r="C129" s="66"/>
      <c r="D129" s="69"/>
      <c r="E129" s="66"/>
      <c r="F129" s="26" t="s">
        <v>285</v>
      </c>
      <c r="G129" s="70"/>
      <c r="H129" s="73"/>
      <c r="I129" s="84"/>
      <c r="J129" s="69"/>
      <c r="K129" s="69"/>
      <c r="L129" s="65"/>
      <c r="M129" s="66"/>
      <c r="N129" s="69"/>
      <c r="O129" s="65"/>
      <c r="P129" s="65"/>
      <c r="Q129" s="65"/>
    </row>
    <row r="130" spans="1:17" ht="28.5" x14ac:dyDescent="0.45">
      <c r="A130" s="68">
        <v>89</v>
      </c>
      <c r="B130" s="66" t="s">
        <v>287</v>
      </c>
      <c r="C130" s="66" t="s">
        <v>18</v>
      </c>
      <c r="D130" s="69" t="s">
        <v>50</v>
      </c>
      <c r="E130" s="66"/>
      <c r="F130" s="11" t="s">
        <v>288</v>
      </c>
      <c r="G130" s="70">
        <v>46118</v>
      </c>
      <c r="H130" s="73" t="s">
        <v>71</v>
      </c>
      <c r="I130" s="84" t="s">
        <v>23</v>
      </c>
      <c r="J130" s="69" t="s">
        <v>37</v>
      </c>
      <c r="K130" s="69"/>
      <c r="L130" s="65"/>
      <c r="M130" s="85" t="s">
        <v>290</v>
      </c>
      <c r="N130" s="69"/>
      <c r="O130" s="65" t="s">
        <v>48</v>
      </c>
      <c r="P130" s="65"/>
      <c r="Q130" s="65" t="s">
        <v>54</v>
      </c>
    </row>
    <row r="131" spans="1:17" x14ac:dyDescent="0.45">
      <c r="A131" s="68"/>
      <c r="B131" s="66"/>
      <c r="C131" s="66"/>
      <c r="D131" s="69"/>
      <c r="E131" s="66"/>
      <c r="F131" s="11" t="s">
        <v>289</v>
      </c>
      <c r="G131" s="70"/>
      <c r="H131" s="73"/>
      <c r="I131" s="84"/>
      <c r="J131" s="69"/>
      <c r="K131" s="69"/>
      <c r="L131" s="65"/>
      <c r="M131" s="85"/>
      <c r="N131" s="69"/>
      <c r="O131" s="65"/>
      <c r="P131" s="65"/>
      <c r="Q131" s="65"/>
    </row>
    <row r="132" spans="1:17" x14ac:dyDescent="0.45">
      <c r="A132" s="68">
        <v>90</v>
      </c>
      <c r="B132" s="69" t="s">
        <v>287</v>
      </c>
      <c r="C132" s="69" t="s">
        <v>18</v>
      </c>
      <c r="D132" s="69" t="s">
        <v>50</v>
      </c>
      <c r="E132" s="69"/>
      <c r="F132" s="11" t="s">
        <v>291</v>
      </c>
      <c r="G132" s="70">
        <v>46118</v>
      </c>
      <c r="H132" s="67" t="s">
        <v>71</v>
      </c>
      <c r="I132" s="67" t="s">
        <v>23</v>
      </c>
      <c r="J132" s="69" t="s">
        <v>37</v>
      </c>
      <c r="K132" s="69"/>
      <c r="L132" s="65"/>
      <c r="M132" s="66" t="s">
        <v>293</v>
      </c>
      <c r="N132" s="69"/>
      <c r="O132" s="65" t="s">
        <v>59</v>
      </c>
      <c r="P132" s="65"/>
      <c r="Q132" s="65" t="s">
        <v>60</v>
      </c>
    </row>
    <row r="133" spans="1:17" x14ac:dyDescent="0.45">
      <c r="A133" s="68"/>
      <c r="B133" s="69"/>
      <c r="C133" s="69"/>
      <c r="D133" s="69"/>
      <c r="E133" s="69"/>
      <c r="F133" s="26" t="s">
        <v>292</v>
      </c>
      <c r="G133" s="70"/>
      <c r="H133" s="67"/>
      <c r="I133" s="67"/>
      <c r="J133" s="69"/>
      <c r="K133" s="69"/>
      <c r="L133" s="65"/>
      <c r="M133" s="66"/>
      <c r="N133" s="69"/>
      <c r="O133" s="65"/>
      <c r="P133" s="65"/>
      <c r="Q133" s="65"/>
    </row>
    <row r="134" spans="1:17" ht="85.5" customHeight="1" x14ac:dyDescent="0.45">
      <c r="A134" s="68">
        <v>91</v>
      </c>
      <c r="B134" s="69" t="s">
        <v>272</v>
      </c>
      <c r="C134" s="69" t="s">
        <v>18</v>
      </c>
      <c r="D134" s="69" t="s">
        <v>50</v>
      </c>
      <c r="E134" s="69"/>
      <c r="F134" s="11" t="s">
        <v>294</v>
      </c>
      <c r="G134" s="70">
        <v>46118</v>
      </c>
      <c r="H134" s="67" t="s">
        <v>71</v>
      </c>
      <c r="I134" s="67" t="s">
        <v>23</v>
      </c>
      <c r="J134" s="69" t="s">
        <v>37</v>
      </c>
      <c r="K134" s="69"/>
      <c r="L134" s="65"/>
      <c r="M134" s="85" t="s">
        <v>295</v>
      </c>
      <c r="N134" s="69"/>
      <c r="O134" s="65" t="s">
        <v>59</v>
      </c>
      <c r="P134" s="65"/>
      <c r="Q134" s="65" t="s">
        <v>60</v>
      </c>
    </row>
    <row r="135" spans="1:17" x14ac:dyDescent="0.45">
      <c r="A135" s="68"/>
      <c r="B135" s="69"/>
      <c r="C135" s="69"/>
      <c r="D135" s="69"/>
      <c r="E135" s="69"/>
      <c r="F135" s="26" t="s">
        <v>292</v>
      </c>
      <c r="G135" s="70"/>
      <c r="H135" s="67"/>
      <c r="I135" s="67"/>
      <c r="J135" s="69"/>
      <c r="K135" s="69"/>
      <c r="L135" s="65"/>
      <c r="M135" s="85"/>
      <c r="N135" s="69"/>
      <c r="O135" s="65"/>
      <c r="P135" s="65"/>
      <c r="Q135" s="65"/>
    </row>
    <row r="136" spans="1:17" x14ac:dyDescent="0.45">
      <c r="A136" s="68">
        <v>92</v>
      </c>
      <c r="B136" s="69" t="s">
        <v>40</v>
      </c>
      <c r="C136" s="69" t="s">
        <v>18</v>
      </c>
      <c r="D136" s="69" t="s">
        <v>19</v>
      </c>
      <c r="E136" s="69" t="s">
        <v>20</v>
      </c>
      <c r="F136" s="11" t="s">
        <v>296</v>
      </c>
      <c r="G136" s="70">
        <v>46118</v>
      </c>
      <c r="H136" s="67" t="s">
        <v>42</v>
      </c>
      <c r="I136" s="67" t="s">
        <v>23</v>
      </c>
      <c r="J136" s="69" t="s">
        <v>37</v>
      </c>
      <c r="K136" s="69"/>
      <c r="L136" s="65"/>
      <c r="M136" s="16" t="s">
        <v>299</v>
      </c>
      <c r="N136" s="69"/>
      <c r="O136" s="65" t="s">
        <v>63</v>
      </c>
      <c r="P136" s="65"/>
      <c r="Q136" s="65"/>
    </row>
    <row r="137" spans="1:17" x14ac:dyDescent="0.45">
      <c r="A137" s="68"/>
      <c r="B137" s="69"/>
      <c r="C137" s="69"/>
      <c r="D137" s="69"/>
      <c r="E137" s="69"/>
      <c r="F137" s="11" t="s">
        <v>297</v>
      </c>
      <c r="G137" s="70"/>
      <c r="H137" s="67"/>
      <c r="I137" s="67"/>
      <c r="J137" s="69"/>
      <c r="K137" s="69"/>
      <c r="L137" s="65"/>
      <c r="M137" s="16" t="s">
        <v>300</v>
      </c>
      <c r="N137" s="69"/>
      <c r="O137" s="65"/>
      <c r="P137" s="65"/>
      <c r="Q137" s="65"/>
    </row>
    <row r="138" spans="1:17" x14ac:dyDescent="0.45">
      <c r="A138" s="68"/>
      <c r="B138" s="69"/>
      <c r="C138" s="69"/>
      <c r="D138" s="69"/>
      <c r="E138" s="69"/>
      <c r="F138" s="11" t="s">
        <v>298</v>
      </c>
      <c r="G138" s="70"/>
      <c r="H138" s="67"/>
      <c r="I138" s="67"/>
      <c r="J138" s="69"/>
      <c r="K138" s="69"/>
      <c r="L138" s="65"/>
      <c r="M138" s="16" t="s">
        <v>301</v>
      </c>
      <c r="N138" s="69"/>
      <c r="O138" s="65"/>
      <c r="P138" s="65"/>
      <c r="Q138" s="65"/>
    </row>
    <row r="139" spans="1:17" ht="114" customHeight="1" x14ac:dyDescent="0.45">
      <c r="A139" s="78">
        <v>93</v>
      </c>
      <c r="B139" s="74" t="s">
        <v>40</v>
      </c>
      <c r="C139" s="74" t="s">
        <v>29</v>
      </c>
      <c r="D139" s="69"/>
      <c r="E139" s="74" t="s">
        <v>29</v>
      </c>
      <c r="F139" s="50" t="s">
        <v>302</v>
      </c>
      <c r="G139" s="75">
        <v>46118</v>
      </c>
      <c r="H139" s="76" t="s">
        <v>71</v>
      </c>
      <c r="I139" s="76" t="s">
        <v>23</v>
      </c>
      <c r="J139" s="74" t="s">
        <v>37</v>
      </c>
      <c r="K139" s="69"/>
      <c r="L139" s="65"/>
      <c r="M139" s="79" t="s">
        <v>303</v>
      </c>
      <c r="N139" s="69"/>
      <c r="O139" s="77" t="s">
        <v>59</v>
      </c>
      <c r="P139" s="65"/>
      <c r="Q139" s="65" t="s">
        <v>60</v>
      </c>
    </row>
    <row r="140" spans="1:17" x14ac:dyDescent="0.45">
      <c r="A140" s="78"/>
      <c r="B140" s="74"/>
      <c r="C140" s="74"/>
      <c r="D140" s="69"/>
      <c r="E140" s="74"/>
      <c r="F140" s="51" t="s">
        <v>292</v>
      </c>
      <c r="G140" s="75"/>
      <c r="H140" s="76"/>
      <c r="I140" s="76"/>
      <c r="J140" s="74"/>
      <c r="K140" s="69"/>
      <c r="L140" s="65"/>
      <c r="M140" s="79"/>
      <c r="N140" s="69"/>
      <c r="O140" s="77"/>
      <c r="P140" s="65"/>
      <c r="Q140" s="65"/>
    </row>
    <row r="141" spans="1:17" x14ac:dyDescent="0.45">
      <c r="A141" s="68">
        <v>94</v>
      </c>
      <c r="B141" s="69" t="s">
        <v>40</v>
      </c>
      <c r="C141" s="69" t="s">
        <v>18</v>
      </c>
      <c r="D141" s="69" t="s">
        <v>50</v>
      </c>
      <c r="E141" s="69" t="s">
        <v>20</v>
      </c>
      <c r="F141" s="11" t="s">
        <v>304</v>
      </c>
      <c r="G141" s="70">
        <v>46118</v>
      </c>
      <c r="H141" s="67" t="s">
        <v>42</v>
      </c>
      <c r="I141" s="67" t="s">
        <v>23</v>
      </c>
      <c r="J141" s="69" t="s">
        <v>20</v>
      </c>
      <c r="K141" s="69" t="s">
        <v>24</v>
      </c>
      <c r="L141" s="65"/>
      <c r="M141" s="66" t="s">
        <v>306</v>
      </c>
      <c r="N141" s="69"/>
      <c r="O141" s="65" t="s">
        <v>111</v>
      </c>
      <c r="P141" s="65"/>
      <c r="Q141" s="65"/>
    </row>
    <row r="142" spans="1:17" x14ac:dyDescent="0.45">
      <c r="A142" s="68"/>
      <c r="B142" s="69"/>
      <c r="C142" s="69"/>
      <c r="D142" s="69"/>
      <c r="E142" s="69"/>
      <c r="F142" s="11" t="s">
        <v>305</v>
      </c>
      <c r="G142" s="70"/>
      <c r="H142" s="67"/>
      <c r="I142" s="67"/>
      <c r="J142" s="69"/>
      <c r="K142" s="69"/>
      <c r="L142" s="65"/>
      <c r="M142" s="66"/>
      <c r="N142" s="69"/>
      <c r="O142" s="65"/>
      <c r="P142" s="65"/>
      <c r="Q142" s="65"/>
    </row>
    <row r="143" spans="1:17" x14ac:dyDescent="0.45">
      <c r="A143" s="47">
        <v>95</v>
      </c>
      <c r="B143" s="21" t="s">
        <v>307</v>
      </c>
      <c r="C143" s="21" t="s">
        <v>18</v>
      </c>
      <c r="D143" s="12"/>
      <c r="E143" s="12"/>
      <c r="F143" s="50" t="s">
        <v>308</v>
      </c>
      <c r="G143" s="48">
        <v>46118</v>
      </c>
      <c r="H143" s="23" t="s">
        <v>42</v>
      </c>
      <c r="I143" s="6"/>
      <c r="J143" s="21" t="s">
        <v>37</v>
      </c>
      <c r="K143" s="12"/>
      <c r="L143" s="39"/>
      <c r="M143" s="44"/>
      <c r="N143" s="12"/>
      <c r="O143" s="40" t="s">
        <v>59</v>
      </c>
      <c r="P143" s="39"/>
      <c r="Q143" s="40" t="s">
        <v>60</v>
      </c>
    </row>
    <row r="144" spans="1:17" x14ac:dyDescent="0.45">
      <c r="A144" s="68">
        <v>96</v>
      </c>
      <c r="B144" s="69" t="s">
        <v>49</v>
      </c>
      <c r="C144" s="69" t="s">
        <v>18</v>
      </c>
      <c r="D144" s="69" t="s">
        <v>19</v>
      </c>
      <c r="E144" s="69"/>
      <c r="F144" s="11" t="s">
        <v>309</v>
      </c>
      <c r="G144" s="70">
        <v>46118</v>
      </c>
      <c r="H144" s="67" t="s">
        <v>42</v>
      </c>
      <c r="I144" s="67" t="s">
        <v>23</v>
      </c>
      <c r="J144" s="69" t="s">
        <v>66</v>
      </c>
      <c r="K144" s="69"/>
      <c r="L144" s="65"/>
      <c r="M144" s="44" t="s">
        <v>312</v>
      </c>
      <c r="N144" s="69"/>
      <c r="O144" s="65" t="s">
        <v>48</v>
      </c>
      <c r="P144" s="65"/>
      <c r="Q144" s="65"/>
    </row>
    <row r="145" spans="1:17" x14ac:dyDescent="0.45">
      <c r="A145" s="68"/>
      <c r="B145" s="69"/>
      <c r="C145" s="69"/>
      <c r="D145" s="69"/>
      <c r="E145" s="69"/>
      <c r="F145" s="11" t="s">
        <v>310</v>
      </c>
      <c r="G145" s="70"/>
      <c r="H145" s="67"/>
      <c r="I145" s="67"/>
      <c r="J145" s="69"/>
      <c r="K145" s="69"/>
      <c r="L145" s="65"/>
      <c r="M145" s="41"/>
      <c r="N145" s="69"/>
      <c r="O145" s="65"/>
      <c r="P145" s="65"/>
      <c r="Q145" s="65"/>
    </row>
    <row r="146" spans="1:17" x14ac:dyDescent="0.45">
      <c r="A146" s="68"/>
      <c r="B146" s="69"/>
      <c r="C146" s="69"/>
      <c r="D146" s="69"/>
      <c r="E146" s="69"/>
      <c r="F146" s="11" t="s">
        <v>311</v>
      </c>
      <c r="G146" s="70"/>
      <c r="H146" s="67"/>
      <c r="I146" s="67"/>
      <c r="J146" s="69"/>
      <c r="K146" s="69"/>
      <c r="L146" s="65"/>
      <c r="M146" s="16" t="s">
        <v>313</v>
      </c>
      <c r="N146" s="69"/>
      <c r="O146" s="65"/>
      <c r="P146" s="65"/>
      <c r="Q146" s="65"/>
    </row>
    <row r="147" spans="1:17" x14ac:dyDescent="0.45">
      <c r="A147" s="68"/>
      <c r="B147" s="69"/>
      <c r="C147" s="69"/>
      <c r="D147" s="69"/>
      <c r="E147" s="69"/>
      <c r="F147" s="11"/>
      <c r="G147" s="70"/>
      <c r="H147" s="67"/>
      <c r="I147" s="67"/>
      <c r="J147" s="69"/>
      <c r="K147" s="69"/>
      <c r="L147" s="65"/>
      <c r="M147" s="16"/>
      <c r="N147" s="69"/>
      <c r="O147" s="65"/>
      <c r="P147" s="65"/>
      <c r="Q147" s="65"/>
    </row>
    <row r="148" spans="1:17" x14ac:dyDescent="0.45">
      <c r="A148" s="68"/>
      <c r="B148" s="69"/>
      <c r="C148" s="69"/>
      <c r="D148" s="69"/>
      <c r="E148" s="69"/>
      <c r="F148" s="11"/>
      <c r="G148" s="70"/>
      <c r="H148" s="67"/>
      <c r="I148" s="67"/>
      <c r="J148" s="69"/>
      <c r="K148" s="69"/>
      <c r="L148" s="65"/>
      <c r="M148" s="16" t="s">
        <v>314</v>
      </c>
      <c r="N148" s="69"/>
      <c r="O148" s="65"/>
      <c r="P148" s="65"/>
      <c r="Q148" s="65"/>
    </row>
    <row r="149" spans="1:17" x14ac:dyDescent="0.45">
      <c r="A149" s="68">
        <v>97</v>
      </c>
      <c r="B149" s="69" t="s">
        <v>315</v>
      </c>
      <c r="C149" s="69" t="s">
        <v>18</v>
      </c>
      <c r="D149" s="69" t="s">
        <v>19</v>
      </c>
      <c r="E149" s="69"/>
      <c r="F149" s="28" t="s">
        <v>316</v>
      </c>
      <c r="G149" s="70">
        <v>46118</v>
      </c>
      <c r="H149" s="67" t="s">
        <v>42</v>
      </c>
      <c r="I149" s="67"/>
      <c r="J149" s="69" t="s">
        <v>66</v>
      </c>
      <c r="K149" s="69"/>
      <c r="L149" s="65"/>
      <c r="M149" s="66" t="s">
        <v>332</v>
      </c>
      <c r="N149" s="69"/>
      <c r="O149" s="65" t="s">
        <v>73</v>
      </c>
      <c r="P149" s="65"/>
      <c r="Q149" s="65"/>
    </row>
    <row r="150" spans="1:17" x14ac:dyDescent="0.45">
      <c r="A150" s="68"/>
      <c r="B150" s="69"/>
      <c r="C150" s="69"/>
      <c r="D150" s="69"/>
      <c r="E150" s="69"/>
      <c r="F150" s="27"/>
      <c r="G150" s="70"/>
      <c r="H150" s="67"/>
      <c r="I150" s="67"/>
      <c r="J150" s="69"/>
      <c r="K150" s="69"/>
      <c r="L150" s="65"/>
      <c r="M150" s="66"/>
      <c r="N150" s="69"/>
      <c r="O150" s="65"/>
      <c r="P150" s="65"/>
      <c r="Q150" s="65"/>
    </row>
    <row r="151" spans="1:17" x14ac:dyDescent="0.45">
      <c r="A151" s="68"/>
      <c r="B151" s="69"/>
      <c r="C151" s="69"/>
      <c r="D151" s="69"/>
      <c r="E151" s="69"/>
      <c r="F151" s="29" t="s">
        <v>317</v>
      </c>
      <c r="G151" s="70"/>
      <c r="H151" s="67"/>
      <c r="I151" s="67"/>
      <c r="J151" s="69"/>
      <c r="K151" s="69"/>
      <c r="L151" s="65"/>
      <c r="M151" s="66"/>
      <c r="N151" s="69"/>
      <c r="O151" s="65"/>
      <c r="P151" s="65"/>
      <c r="Q151" s="65"/>
    </row>
    <row r="152" spans="1:17" x14ac:dyDescent="0.45">
      <c r="A152" s="68"/>
      <c r="B152" s="69"/>
      <c r="C152" s="69"/>
      <c r="D152" s="69"/>
      <c r="E152" s="69"/>
      <c r="F152" s="30" t="s">
        <v>318</v>
      </c>
      <c r="G152" s="70"/>
      <c r="H152" s="67"/>
      <c r="I152" s="67"/>
      <c r="J152" s="69"/>
      <c r="K152" s="69"/>
      <c r="L152" s="65"/>
      <c r="M152" s="66"/>
      <c r="N152" s="69"/>
      <c r="O152" s="65"/>
      <c r="P152" s="65"/>
      <c r="Q152" s="65"/>
    </row>
    <row r="153" spans="1:17" x14ac:dyDescent="0.45">
      <c r="A153" s="68"/>
      <c r="B153" s="69"/>
      <c r="C153" s="69"/>
      <c r="D153" s="69"/>
      <c r="E153" s="69"/>
      <c r="F153" s="30" t="s">
        <v>319</v>
      </c>
      <c r="G153" s="70"/>
      <c r="H153" s="67"/>
      <c r="I153" s="67"/>
      <c r="J153" s="69"/>
      <c r="K153" s="69"/>
      <c r="L153" s="65"/>
      <c r="M153" s="66"/>
      <c r="N153" s="69"/>
      <c r="O153" s="65"/>
      <c r="P153" s="65"/>
      <c r="Q153" s="65"/>
    </row>
    <row r="154" spans="1:17" ht="28.5" x14ac:dyDescent="0.45">
      <c r="A154" s="68"/>
      <c r="B154" s="69"/>
      <c r="C154" s="69"/>
      <c r="D154" s="69"/>
      <c r="E154" s="69"/>
      <c r="F154" s="31" t="s">
        <v>320</v>
      </c>
      <c r="G154" s="70"/>
      <c r="H154" s="67"/>
      <c r="I154" s="67"/>
      <c r="J154" s="69"/>
      <c r="K154" s="69"/>
      <c r="L154" s="65"/>
      <c r="M154" s="66"/>
      <c r="N154" s="69"/>
      <c r="O154" s="65"/>
      <c r="P154" s="65"/>
      <c r="Q154" s="65"/>
    </row>
    <row r="155" spans="1:17" x14ac:dyDescent="0.45">
      <c r="A155" s="68"/>
      <c r="B155" s="69"/>
      <c r="C155" s="69"/>
      <c r="D155" s="69"/>
      <c r="E155" s="69"/>
      <c r="F155" s="27"/>
      <c r="G155" s="70"/>
      <c r="H155" s="67"/>
      <c r="I155" s="67"/>
      <c r="J155" s="69"/>
      <c r="K155" s="69"/>
      <c r="L155" s="65"/>
      <c r="M155" s="66"/>
      <c r="N155" s="69"/>
      <c r="O155" s="65"/>
      <c r="P155" s="65"/>
      <c r="Q155" s="65"/>
    </row>
    <row r="156" spans="1:17" x14ac:dyDescent="0.45">
      <c r="A156" s="68"/>
      <c r="B156" s="69"/>
      <c r="C156" s="69"/>
      <c r="D156" s="69"/>
      <c r="E156" s="69"/>
      <c r="F156" s="29" t="s">
        <v>321</v>
      </c>
      <c r="G156" s="70"/>
      <c r="H156" s="67"/>
      <c r="I156" s="67"/>
      <c r="J156" s="69"/>
      <c r="K156" s="69"/>
      <c r="L156" s="65"/>
      <c r="M156" s="66"/>
      <c r="N156" s="69"/>
      <c r="O156" s="65"/>
      <c r="P156" s="65"/>
      <c r="Q156" s="65"/>
    </row>
    <row r="157" spans="1:17" ht="28.5" x14ac:dyDescent="0.45">
      <c r="A157" s="68"/>
      <c r="B157" s="69"/>
      <c r="C157" s="69"/>
      <c r="D157" s="69"/>
      <c r="E157" s="69"/>
      <c r="F157" s="30" t="s">
        <v>322</v>
      </c>
      <c r="G157" s="70"/>
      <c r="H157" s="67"/>
      <c r="I157" s="67"/>
      <c r="J157" s="69"/>
      <c r="K157" s="69"/>
      <c r="L157" s="65"/>
      <c r="M157" s="66"/>
      <c r="N157" s="69"/>
      <c r="O157" s="65"/>
      <c r="P157" s="65"/>
      <c r="Q157" s="65"/>
    </row>
    <row r="158" spans="1:17" ht="28.5" x14ac:dyDescent="0.45">
      <c r="A158" s="68"/>
      <c r="B158" s="69"/>
      <c r="C158" s="69"/>
      <c r="D158" s="69"/>
      <c r="E158" s="69"/>
      <c r="F158" s="30" t="s">
        <v>323</v>
      </c>
      <c r="G158" s="70"/>
      <c r="H158" s="67"/>
      <c r="I158" s="67"/>
      <c r="J158" s="69"/>
      <c r="K158" s="69"/>
      <c r="L158" s="65"/>
      <c r="M158" s="66"/>
      <c r="N158" s="69"/>
      <c r="O158" s="65"/>
      <c r="P158" s="65"/>
      <c r="Q158" s="65"/>
    </row>
    <row r="159" spans="1:17" ht="28.5" x14ac:dyDescent="0.45">
      <c r="A159" s="68"/>
      <c r="B159" s="69"/>
      <c r="C159" s="69"/>
      <c r="D159" s="69"/>
      <c r="E159" s="69"/>
      <c r="F159" s="30" t="s">
        <v>324</v>
      </c>
      <c r="G159" s="70"/>
      <c r="H159" s="67"/>
      <c r="I159" s="67"/>
      <c r="J159" s="69"/>
      <c r="K159" s="69"/>
      <c r="L159" s="65"/>
      <c r="M159" s="66"/>
      <c r="N159" s="69"/>
      <c r="O159" s="65"/>
      <c r="P159" s="65"/>
      <c r="Q159" s="65"/>
    </row>
    <row r="160" spans="1:17" ht="28.5" x14ac:dyDescent="0.45">
      <c r="A160" s="68"/>
      <c r="B160" s="69"/>
      <c r="C160" s="69"/>
      <c r="D160" s="69"/>
      <c r="E160" s="69"/>
      <c r="F160" s="30" t="s">
        <v>325</v>
      </c>
      <c r="G160" s="70"/>
      <c r="H160" s="67"/>
      <c r="I160" s="67"/>
      <c r="J160" s="69"/>
      <c r="K160" s="69"/>
      <c r="L160" s="65"/>
      <c r="M160" s="66"/>
      <c r="N160" s="69"/>
      <c r="O160" s="65"/>
      <c r="P160" s="65"/>
      <c r="Q160" s="65"/>
    </row>
    <row r="161" spans="1:17" x14ac:dyDescent="0.45">
      <c r="A161" s="68"/>
      <c r="B161" s="69"/>
      <c r="C161" s="69"/>
      <c r="D161" s="69"/>
      <c r="E161" s="69"/>
      <c r="F161" s="30" t="s">
        <v>326</v>
      </c>
      <c r="G161" s="70"/>
      <c r="H161" s="67"/>
      <c r="I161" s="67"/>
      <c r="J161" s="69"/>
      <c r="K161" s="69"/>
      <c r="L161" s="65"/>
      <c r="M161" s="66"/>
      <c r="N161" s="69"/>
      <c r="O161" s="65"/>
      <c r="P161" s="65"/>
      <c r="Q161" s="65"/>
    </row>
    <row r="162" spans="1:17" x14ac:dyDescent="0.45">
      <c r="A162" s="68"/>
      <c r="B162" s="69"/>
      <c r="C162" s="69"/>
      <c r="D162" s="69"/>
      <c r="E162" s="69"/>
      <c r="F162" s="27"/>
      <c r="G162" s="70"/>
      <c r="H162" s="67"/>
      <c r="I162" s="67"/>
      <c r="J162" s="69"/>
      <c r="K162" s="69"/>
      <c r="L162" s="65"/>
      <c r="M162" s="66"/>
      <c r="N162" s="69"/>
      <c r="O162" s="65"/>
      <c r="P162" s="65"/>
      <c r="Q162" s="65"/>
    </row>
    <row r="163" spans="1:17" x14ac:dyDescent="0.45">
      <c r="A163" s="68"/>
      <c r="B163" s="69"/>
      <c r="C163" s="69"/>
      <c r="D163" s="69"/>
      <c r="E163" s="69"/>
      <c r="F163" s="30" t="s">
        <v>327</v>
      </c>
      <c r="G163" s="70"/>
      <c r="H163" s="67"/>
      <c r="I163" s="67"/>
      <c r="J163" s="69"/>
      <c r="K163" s="69"/>
      <c r="L163" s="65"/>
      <c r="M163" s="66"/>
      <c r="N163" s="69"/>
      <c r="O163" s="65"/>
      <c r="P163" s="65"/>
      <c r="Q163" s="65"/>
    </row>
    <row r="164" spans="1:17" x14ac:dyDescent="0.45">
      <c r="A164" s="68"/>
      <c r="B164" s="69"/>
      <c r="C164" s="69"/>
      <c r="D164" s="69"/>
      <c r="E164" s="69"/>
      <c r="F164" s="27"/>
      <c r="G164" s="70"/>
      <c r="H164" s="67"/>
      <c r="I164" s="67"/>
      <c r="J164" s="69"/>
      <c r="K164" s="69"/>
      <c r="L164" s="65"/>
      <c r="M164" s="66"/>
      <c r="N164" s="69"/>
      <c r="O164" s="65"/>
      <c r="P164" s="65"/>
      <c r="Q164" s="65"/>
    </row>
    <row r="165" spans="1:17" x14ac:dyDescent="0.45">
      <c r="A165" s="68"/>
      <c r="B165" s="69"/>
      <c r="C165" s="69"/>
      <c r="D165" s="69"/>
      <c r="E165" s="69"/>
      <c r="F165" s="32" t="s">
        <v>328</v>
      </c>
      <c r="G165" s="70"/>
      <c r="H165" s="67"/>
      <c r="I165" s="67"/>
      <c r="J165" s="69"/>
      <c r="K165" s="69"/>
      <c r="L165" s="65"/>
      <c r="M165" s="66"/>
      <c r="N165" s="69"/>
      <c r="O165" s="65"/>
      <c r="P165" s="65"/>
      <c r="Q165" s="65"/>
    </row>
    <row r="166" spans="1:17" x14ac:dyDescent="0.45">
      <c r="A166" s="68"/>
      <c r="B166" s="69"/>
      <c r="C166" s="69"/>
      <c r="D166" s="69"/>
      <c r="E166" s="69"/>
      <c r="F166" s="32" t="s">
        <v>329</v>
      </c>
      <c r="G166" s="70"/>
      <c r="H166" s="67"/>
      <c r="I166" s="67"/>
      <c r="J166" s="69"/>
      <c r="K166" s="69"/>
      <c r="L166" s="65"/>
      <c r="M166" s="66"/>
      <c r="N166" s="69"/>
      <c r="O166" s="65"/>
      <c r="P166" s="65"/>
      <c r="Q166" s="65"/>
    </row>
    <row r="167" spans="1:17" x14ac:dyDescent="0.45">
      <c r="A167" s="68"/>
      <c r="B167" s="69"/>
      <c r="C167" s="69"/>
      <c r="D167" s="69"/>
      <c r="E167" s="69"/>
      <c r="F167" s="32" t="s">
        <v>330</v>
      </c>
      <c r="G167" s="70"/>
      <c r="H167" s="67"/>
      <c r="I167" s="67"/>
      <c r="J167" s="69"/>
      <c r="K167" s="69"/>
      <c r="L167" s="65"/>
      <c r="M167" s="66"/>
      <c r="N167" s="69"/>
      <c r="O167" s="65"/>
      <c r="P167" s="65"/>
      <c r="Q167" s="65"/>
    </row>
    <row r="168" spans="1:17" x14ac:dyDescent="0.45">
      <c r="A168" s="68"/>
      <c r="B168" s="69"/>
      <c r="C168" s="69"/>
      <c r="D168" s="69"/>
      <c r="E168" s="69"/>
      <c r="F168" s="32" t="s">
        <v>331</v>
      </c>
      <c r="G168" s="70"/>
      <c r="H168" s="67"/>
      <c r="I168" s="67"/>
      <c r="J168" s="69"/>
      <c r="K168" s="69"/>
      <c r="L168" s="65"/>
      <c r="M168" s="66"/>
      <c r="N168" s="69"/>
      <c r="O168" s="65"/>
      <c r="P168" s="65"/>
      <c r="Q168" s="65"/>
    </row>
    <row r="169" spans="1:17" x14ac:dyDescent="0.45">
      <c r="A169" s="68">
        <v>98</v>
      </c>
      <c r="B169" s="69" t="s">
        <v>49</v>
      </c>
      <c r="C169" s="69" t="s">
        <v>18</v>
      </c>
      <c r="D169" s="69" t="s">
        <v>19</v>
      </c>
      <c r="E169" s="66"/>
      <c r="F169" s="17" t="s">
        <v>333</v>
      </c>
      <c r="G169" s="70">
        <v>46119</v>
      </c>
      <c r="H169" s="67" t="s">
        <v>71</v>
      </c>
      <c r="I169" s="67" t="s">
        <v>23</v>
      </c>
      <c r="J169" s="69" t="s">
        <v>20</v>
      </c>
      <c r="K169" s="69" t="s">
        <v>24</v>
      </c>
      <c r="L169" s="65"/>
      <c r="M169" s="66" t="s">
        <v>334</v>
      </c>
      <c r="N169" s="69"/>
      <c r="O169" s="65" t="s">
        <v>335</v>
      </c>
      <c r="P169" s="65"/>
      <c r="Q169" s="65"/>
    </row>
    <row r="170" spans="1:17" x14ac:dyDescent="0.45">
      <c r="A170" s="68"/>
      <c r="B170" s="69"/>
      <c r="C170" s="69"/>
      <c r="D170" s="69"/>
      <c r="E170" s="66"/>
      <c r="F170" s="17" t="s">
        <v>149</v>
      </c>
      <c r="G170" s="70"/>
      <c r="H170" s="67"/>
      <c r="I170" s="67"/>
      <c r="J170" s="69"/>
      <c r="K170" s="69"/>
      <c r="L170" s="65"/>
      <c r="M170" s="66"/>
      <c r="N170" s="69"/>
      <c r="O170" s="65"/>
      <c r="P170" s="65"/>
      <c r="Q170" s="65"/>
    </row>
    <row r="171" spans="1:17" ht="28.5" x14ac:dyDescent="0.45">
      <c r="A171" s="14">
        <v>99</v>
      </c>
      <c r="B171" s="16" t="s">
        <v>103</v>
      </c>
      <c r="C171" s="12" t="s">
        <v>18</v>
      </c>
      <c r="D171" s="12" t="s">
        <v>19</v>
      </c>
      <c r="E171" s="16" t="s">
        <v>66</v>
      </c>
      <c r="F171" s="33" t="s">
        <v>336</v>
      </c>
      <c r="G171" s="15">
        <v>46120</v>
      </c>
      <c r="H171" s="18" t="s">
        <v>22</v>
      </c>
      <c r="I171" s="39" t="s">
        <v>88</v>
      </c>
      <c r="J171" s="39" t="s">
        <v>66</v>
      </c>
      <c r="K171" s="12"/>
      <c r="L171" s="39"/>
      <c r="M171" s="16"/>
      <c r="N171" s="12"/>
      <c r="O171" s="39" t="s">
        <v>337</v>
      </c>
      <c r="P171" s="39"/>
      <c r="Q171" s="39"/>
    </row>
    <row r="172" spans="1:17" x14ac:dyDescent="0.45">
      <c r="A172" s="14">
        <v>100</v>
      </c>
      <c r="B172" s="16" t="s">
        <v>103</v>
      </c>
      <c r="C172" s="12" t="s">
        <v>18</v>
      </c>
      <c r="D172" s="12" t="s">
        <v>19</v>
      </c>
      <c r="E172" s="16"/>
      <c r="F172" s="11" t="s">
        <v>338</v>
      </c>
      <c r="G172" s="15">
        <v>46120</v>
      </c>
      <c r="H172" s="18" t="s">
        <v>22</v>
      </c>
      <c r="I172" s="39" t="s">
        <v>88</v>
      </c>
      <c r="J172" s="39" t="s">
        <v>66</v>
      </c>
      <c r="K172" s="12"/>
      <c r="L172" s="39"/>
      <c r="M172" s="16" t="s">
        <v>339</v>
      </c>
      <c r="N172" s="12"/>
      <c r="O172" s="39" t="s">
        <v>63</v>
      </c>
      <c r="P172" s="39"/>
      <c r="Q172" s="39"/>
    </row>
    <row r="173" spans="1:17" x14ac:dyDescent="0.45">
      <c r="A173" s="14">
        <v>101</v>
      </c>
      <c r="B173" s="16" t="s">
        <v>340</v>
      </c>
      <c r="C173" s="12" t="s">
        <v>18</v>
      </c>
      <c r="D173" s="12" t="s">
        <v>19</v>
      </c>
      <c r="E173" s="16" t="s">
        <v>37</v>
      </c>
      <c r="F173" s="11" t="s">
        <v>341</v>
      </c>
      <c r="G173" s="15">
        <v>46121</v>
      </c>
      <c r="H173" s="18" t="s">
        <v>22</v>
      </c>
      <c r="I173" s="6" t="s">
        <v>88</v>
      </c>
      <c r="J173" s="39" t="s">
        <v>66</v>
      </c>
      <c r="K173" s="12"/>
      <c r="L173" s="39"/>
      <c r="M173" s="16" t="s">
        <v>47</v>
      </c>
      <c r="N173" s="12"/>
      <c r="O173" s="39" t="s">
        <v>154</v>
      </c>
      <c r="P173" s="39"/>
      <c r="Q173" s="39"/>
    </row>
    <row r="174" spans="1:17" x14ac:dyDescent="0.45">
      <c r="A174" s="14">
        <v>102</v>
      </c>
      <c r="B174" s="16" t="s">
        <v>103</v>
      </c>
      <c r="C174" s="12" t="s">
        <v>18</v>
      </c>
      <c r="D174" s="12" t="s">
        <v>19</v>
      </c>
      <c r="E174" s="16" t="s">
        <v>66</v>
      </c>
      <c r="F174" s="11" t="s">
        <v>342</v>
      </c>
      <c r="G174" s="15">
        <v>46121</v>
      </c>
      <c r="H174" s="18" t="s">
        <v>343</v>
      </c>
      <c r="I174" s="6" t="s">
        <v>88</v>
      </c>
      <c r="J174" s="39" t="s">
        <v>66</v>
      </c>
      <c r="K174" s="12"/>
      <c r="L174" s="39"/>
      <c r="M174" s="16"/>
      <c r="N174" s="12"/>
      <c r="O174" s="39" t="s">
        <v>337</v>
      </c>
      <c r="P174" s="39"/>
      <c r="Q174" s="39"/>
    </row>
    <row r="175" spans="1:17" ht="28.5" x14ac:dyDescent="0.45">
      <c r="A175" s="14">
        <v>103</v>
      </c>
      <c r="B175" s="16" t="s">
        <v>35</v>
      </c>
      <c r="C175" s="12" t="s">
        <v>18</v>
      </c>
      <c r="D175" s="12" t="s">
        <v>19</v>
      </c>
      <c r="E175" s="16" t="s">
        <v>66</v>
      </c>
      <c r="F175" s="34" t="s">
        <v>344</v>
      </c>
      <c r="G175" s="15">
        <v>46121</v>
      </c>
      <c r="H175" s="18" t="s">
        <v>343</v>
      </c>
      <c r="I175" s="6" t="s">
        <v>88</v>
      </c>
      <c r="J175" s="39" t="s">
        <v>66</v>
      </c>
      <c r="K175" s="12"/>
      <c r="L175" s="39"/>
      <c r="M175" s="45" t="s">
        <v>345</v>
      </c>
      <c r="N175" s="12"/>
      <c r="O175" s="39" t="s">
        <v>337</v>
      </c>
      <c r="P175" s="39"/>
      <c r="Q175" s="39"/>
    </row>
    <row r="176" spans="1:17" ht="28.5" x14ac:dyDescent="0.45">
      <c r="A176" s="14">
        <v>104</v>
      </c>
      <c r="B176" s="16" t="s">
        <v>103</v>
      </c>
      <c r="C176" s="12" t="s">
        <v>18</v>
      </c>
      <c r="D176" s="12" t="s">
        <v>19</v>
      </c>
      <c r="E176" s="16" t="s">
        <v>66</v>
      </c>
      <c r="F176" s="33" t="s">
        <v>346</v>
      </c>
      <c r="G176" s="15">
        <v>46121</v>
      </c>
      <c r="H176" s="18" t="s">
        <v>347</v>
      </c>
      <c r="I176" s="6" t="s">
        <v>88</v>
      </c>
      <c r="J176" s="39" t="s">
        <v>66</v>
      </c>
      <c r="K176" s="12"/>
      <c r="L176" s="39"/>
      <c r="M176" s="45" t="s">
        <v>348</v>
      </c>
      <c r="N176" s="12"/>
      <c r="O176" s="39" t="s">
        <v>337</v>
      </c>
      <c r="P176" s="39"/>
      <c r="Q176" s="39"/>
    </row>
    <row r="177" spans="1:17" ht="28.5" x14ac:dyDescent="0.45">
      <c r="A177" s="14">
        <v>105</v>
      </c>
      <c r="B177" s="16" t="s">
        <v>103</v>
      </c>
      <c r="C177" s="12" t="s">
        <v>18</v>
      </c>
      <c r="D177" s="12" t="s">
        <v>19</v>
      </c>
      <c r="E177" s="16" t="s">
        <v>66</v>
      </c>
      <c r="F177" s="11" t="s">
        <v>349</v>
      </c>
      <c r="G177" s="15">
        <v>46121</v>
      </c>
      <c r="H177" s="18" t="s">
        <v>347</v>
      </c>
      <c r="I177" s="6" t="s">
        <v>88</v>
      </c>
      <c r="J177" s="39" t="s">
        <v>66</v>
      </c>
      <c r="K177" s="12"/>
      <c r="L177" s="39"/>
      <c r="M177" s="45" t="s">
        <v>350</v>
      </c>
      <c r="N177" s="12"/>
      <c r="O177" s="39" t="s">
        <v>351</v>
      </c>
      <c r="P177" s="39"/>
      <c r="Q177" s="39"/>
    </row>
    <row r="178" spans="1:17" x14ac:dyDescent="0.45">
      <c r="A178" s="68">
        <v>106</v>
      </c>
      <c r="B178" s="66" t="s">
        <v>352</v>
      </c>
      <c r="C178" s="66" t="s">
        <v>18</v>
      </c>
      <c r="D178" s="66" t="s">
        <v>19</v>
      </c>
      <c r="E178" s="66" t="s">
        <v>20</v>
      </c>
      <c r="F178" s="11" t="s">
        <v>353</v>
      </c>
      <c r="G178" s="70">
        <v>46121</v>
      </c>
      <c r="H178" s="73"/>
      <c r="I178" s="67" t="s">
        <v>23</v>
      </c>
      <c r="J178" s="69" t="s">
        <v>20</v>
      </c>
      <c r="K178" s="69"/>
      <c r="L178" s="65"/>
      <c r="M178" s="66"/>
      <c r="N178" s="69"/>
      <c r="O178" s="65" t="s">
        <v>73</v>
      </c>
      <c r="P178" s="65"/>
      <c r="Q178" s="65"/>
    </row>
    <row r="179" spans="1:17" ht="28.5" x14ac:dyDescent="0.45">
      <c r="A179" s="68"/>
      <c r="B179" s="66"/>
      <c r="C179" s="66"/>
      <c r="D179" s="66"/>
      <c r="E179" s="66"/>
      <c r="F179" s="11" t="s">
        <v>354</v>
      </c>
      <c r="G179" s="70"/>
      <c r="H179" s="73"/>
      <c r="I179" s="67"/>
      <c r="J179" s="69"/>
      <c r="K179" s="69"/>
      <c r="L179" s="65"/>
      <c r="M179" s="66"/>
      <c r="N179" s="69"/>
      <c r="O179" s="65"/>
      <c r="P179" s="65"/>
      <c r="Q179" s="65"/>
    </row>
    <row r="180" spans="1:17" x14ac:dyDescent="0.45">
      <c r="A180" s="14">
        <v>107</v>
      </c>
      <c r="B180" s="16" t="s">
        <v>103</v>
      </c>
      <c r="C180" s="12" t="s">
        <v>18</v>
      </c>
      <c r="D180" s="12" t="s">
        <v>19</v>
      </c>
      <c r="E180" s="16" t="s">
        <v>66</v>
      </c>
      <c r="F180" s="35" t="s">
        <v>355</v>
      </c>
      <c r="G180" s="15">
        <v>46121</v>
      </c>
      <c r="H180" s="18" t="s">
        <v>343</v>
      </c>
      <c r="I180" s="39"/>
      <c r="J180" s="39" t="s">
        <v>66</v>
      </c>
      <c r="K180" s="12"/>
      <c r="L180" s="39"/>
      <c r="M180" s="45" t="s">
        <v>356</v>
      </c>
      <c r="N180" s="12"/>
      <c r="O180" s="39" t="s">
        <v>337</v>
      </c>
      <c r="P180" s="39"/>
      <c r="Q180" s="39"/>
    </row>
    <row r="181" spans="1:17" ht="57" x14ac:dyDescent="0.45">
      <c r="A181" s="14">
        <v>108</v>
      </c>
      <c r="B181" s="16" t="s">
        <v>103</v>
      </c>
      <c r="C181" s="12" t="s">
        <v>18</v>
      </c>
      <c r="D181" s="12" t="s">
        <v>19</v>
      </c>
      <c r="E181" s="16" t="s">
        <v>66</v>
      </c>
      <c r="F181" s="33" t="s">
        <v>357</v>
      </c>
      <c r="G181" s="15">
        <v>46121</v>
      </c>
      <c r="H181" s="18" t="s">
        <v>358</v>
      </c>
      <c r="I181" s="39"/>
      <c r="J181" s="39" t="s">
        <v>66</v>
      </c>
      <c r="K181" s="12"/>
      <c r="L181" s="39"/>
      <c r="M181" s="45" t="s">
        <v>359</v>
      </c>
      <c r="N181" s="12"/>
      <c r="O181" s="39" t="s">
        <v>337</v>
      </c>
      <c r="P181" s="39"/>
      <c r="Q181" s="39"/>
    </row>
    <row r="182" spans="1:17" ht="28.5" x14ac:dyDescent="0.45">
      <c r="A182" s="14">
        <v>109</v>
      </c>
      <c r="B182" s="16" t="s">
        <v>360</v>
      </c>
      <c r="C182" s="12" t="s">
        <v>18</v>
      </c>
      <c r="D182" s="12" t="s">
        <v>19</v>
      </c>
      <c r="E182" s="16" t="s">
        <v>37</v>
      </c>
      <c r="F182" s="11" t="s">
        <v>361</v>
      </c>
      <c r="G182" s="15">
        <v>46121</v>
      </c>
      <c r="H182" s="18" t="s">
        <v>22</v>
      </c>
      <c r="I182" s="6" t="s">
        <v>88</v>
      </c>
      <c r="J182" s="12" t="s">
        <v>37</v>
      </c>
      <c r="K182" s="12"/>
      <c r="L182" s="39"/>
      <c r="M182" s="16"/>
      <c r="N182" s="12"/>
      <c r="O182" s="39" t="s">
        <v>362</v>
      </c>
      <c r="P182" s="39"/>
      <c r="Q182" s="39"/>
    </row>
    <row r="183" spans="1:17" ht="28.5" x14ac:dyDescent="0.45">
      <c r="A183" s="14">
        <v>110</v>
      </c>
      <c r="B183" s="16" t="s">
        <v>363</v>
      </c>
      <c r="C183" s="16" t="s">
        <v>18</v>
      </c>
      <c r="D183" s="16" t="s">
        <v>19</v>
      </c>
      <c r="E183" s="16" t="s">
        <v>20</v>
      </c>
      <c r="F183" s="11" t="s">
        <v>364</v>
      </c>
      <c r="G183" s="15">
        <v>46122</v>
      </c>
      <c r="H183" s="18" t="s">
        <v>22</v>
      </c>
      <c r="I183" s="6" t="s">
        <v>23</v>
      </c>
      <c r="J183" s="12" t="s">
        <v>20</v>
      </c>
      <c r="K183" s="12" t="s">
        <v>236</v>
      </c>
      <c r="L183" s="39"/>
      <c r="M183" s="16" t="s">
        <v>365</v>
      </c>
      <c r="N183" s="12"/>
      <c r="O183" s="39" t="s">
        <v>111</v>
      </c>
      <c r="P183" s="39"/>
      <c r="Q183" s="39"/>
    </row>
    <row r="184" spans="1:17" ht="28.5" x14ac:dyDescent="0.45">
      <c r="A184" s="14">
        <v>111</v>
      </c>
      <c r="B184" s="16" t="s">
        <v>35</v>
      </c>
      <c r="C184" s="16" t="s">
        <v>18</v>
      </c>
      <c r="D184" s="16" t="s">
        <v>19</v>
      </c>
      <c r="E184" s="16" t="s">
        <v>20</v>
      </c>
      <c r="F184" s="11" t="s">
        <v>366</v>
      </c>
      <c r="G184" s="15">
        <v>46122</v>
      </c>
      <c r="H184" s="18" t="s">
        <v>22</v>
      </c>
      <c r="I184" s="6" t="s">
        <v>88</v>
      </c>
      <c r="J184" s="12" t="s">
        <v>20</v>
      </c>
      <c r="K184" s="12"/>
      <c r="L184" s="39"/>
      <c r="M184" s="16"/>
      <c r="N184" s="12"/>
      <c r="O184" s="39" t="s">
        <v>367</v>
      </c>
      <c r="P184" s="39"/>
      <c r="Q184" s="39"/>
    </row>
    <row r="185" spans="1:17" ht="28.5" x14ac:dyDescent="0.45">
      <c r="A185" s="14">
        <v>112</v>
      </c>
      <c r="B185" s="16" t="s">
        <v>103</v>
      </c>
      <c r="C185" s="16" t="s">
        <v>18</v>
      </c>
      <c r="D185" s="16" t="s">
        <v>19</v>
      </c>
      <c r="E185" s="16" t="s">
        <v>37</v>
      </c>
      <c r="F185" s="35" t="s">
        <v>368</v>
      </c>
      <c r="G185" s="15">
        <v>46125</v>
      </c>
      <c r="H185" s="18" t="s">
        <v>22</v>
      </c>
      <c r="I185" s="6" t="s">
        <v>88</v>
      </c>
      <c r="J185" s="39" t="s">
        <v>66</v>
      </c>
      <c r="K185" s="12"/>
      <c r="L185" s="39"/>
      <c r="M185" s="16"/>
      <c r="N185" s="12"/>
      <c r="O185" s="39" t="s">
        <v>337</v>
      </c>
      <c r="P185" s="39"/>
      <c r="Q185" s="39"/>
    </row>
    <row r="186" spans="1:17" ht="28.5" x14ac:dyDescent="0.45">
      <c r="A186" s="14">
        <v>113</v>
      </c>
      <c r="B186" s="16" t="s">
        <v>103</v>
      </c>
      <c r="C186" s="16" t="s">
        <v>18</v>
      </c>
      <c r="D186" s="16" t="s">
        <v>19</v>
      </c>
      <c r="E186" s="16" t="s">
        <v>20</v>
      </c>
      <c r="F186" s="8" t="s">
        <v>369</v>
      </c>
      <c r="G186" s="15">
        <v>46125</v>
      </c>
      <c r="H186" s="18" t="s">
        <v>22</v>
      </c>
      <c r="I186" s="6" t="s">
        <v>88</v>
      </c>
      <c r="J186" s="12"/>
      <c r="K186" s="12"/>
      <c r="L186" s="39"/>
      <c r="M186" s="16"/>
      <c r="N186" s="12"/>
      <c r="O186" s="39" t="s">
        <v>115</v>
      </c>
      <c r="P186" s="39"/>
      <c r="Q186" s="39"/>
    </row>
    <row r="187" spans="1:17" ht="28.5" x14ac:dyDescent="0.45">
      <c r="A187" s="14">
        <v>114</v>
      </c>
      <c r="B187" s="16" t="s">
        <v>370</v>
      </c>
      <c r="C187" s="16" t="s">
        <v>18</v>
      </c>
      <c r="D187" s="16" t="s">
        <v>19</v>
      </c>
      <c r="E187" s="16" t="s">
        <v>37</v>
      </c>
      <c r="F187" s="11" t="s">
        <v>371</v>
      </c>
      <c r="G187" s="15">
        <v>46125</v>
      </c>
      <c r="H187" s="18" t="s">
        <v>22</v>
      </c>
      <c r="I187" s="6" t="s">
        <v>88</v>
      </c>
      <c r="J187" s="39" t="s">
        <v>66</v>
      </c>
      <c r="K187" s="12"/>
      <c r="L187" s="39"/>
      <c r="M187" s="16"/>
      <c r="N187" s="12"/>
      <c r="O187" s="39" t="s">
        <v>372</v>
      </c>
      <c r="P187" s="39"/>
      <c r="Q187" s="39"/>
    </row>
    <row r="188" spans="1:17" x14ac:dyDescent="0.45">
      <c r="A188" s="14">
        <v>115</v>
      </c>
      <c r="B188" s="16" t="s">
        <v>373</v>
      </c>
      <c r="C188" s="16" t="s">
        <v>18</v>
      </c>
      <c r="D188" s="16" t="s">
        <v>19</v>
      </c>
      <c r="E188" s="16" t="s">
        <v>37</v>
      </c>
      <c r="F188" s="11" t="s">
        <v>374</v>
      </c>
      <c r="G188" s="15">
        <v>46126</v>
      </c>
      <c r="H188" s="18" t="s">
        <v>22</v>
      </c>
      <c r="I188" s="6" t="s">
        <v>88</v>
      </c>
      <c r="J188" s="12"/>
      <c r="K188" s="12"/>
      <c r="L188" s="39"/>
      <c r="M188" s="16"/>
      <c r="N188" s="12"/>
      <c r="O188" s="39" t="s">
        <v>337</v>
      </c>
      <c r="P188" s="39"/>
      <c r="Q188" s="39"/>
    </row>
    <row r="189" spans="1:17" ht="28.5" x14ac:dyDescent="0.45">
      <c r="A189" s="68">
        <v>116</v>
      </c>
      <c r="B189" s="66" t="s">
        <v>375</v>
      </c>
      <c r="C189" s="66" t="s">
        <v>18</v>
      </c>
      <c r="D189" s="66" t="s">
        <v>19</v>
      </c>
      <c r="E189" s="66" t="s">
        <v>57</v>
      </c>
      <c r="F189" s="11" t="s">
        <v>376</v>
      </c>
      <c r="G189" s="70">
        <v>46126</v>
      </c>
      <c r="H189" s="73" t="s">
        <v>380</v>
      </c>
      <c r="I189" s="65" t="s">
        <v>88</v>
      </c>
      <c r="J189" s="69"/>
      <c r="K189" s="69"/>
      <c r="L189" s="65"/>
      <c r="M189" s="66"/>
      <c r="N189" s="69"/>
      <c r="O189" s="65" t="s">
        <v>381</v>
      </c>
      <c r="P189" s="65"/>
      <c r="Q189" s="65"/>
    </row>
    <row r="190" spans="1:17" x14ac:dyDescent="0.45">
      <c r="A190" s="68"/>
      <c r="B190" s="66"/>
      <c r="C190" s="66"/>
      <c r="D190" s="66"/>
      <c r="E190" s="66"/>
      <c r="F190" s="11" t="s">
        <v>377</v>
      </c>
      <c r="G190" s="70"/>
      <c r="H190" s="73"/>
      <c r="I190" s="65"/>
      <c r="J190" s="69"/>
      <c r="K190" s="69"/>
      <c r="L190" s="65"/>
      <c r="M190" s="66"/>
      <c r="N190" s="69"/>
      <c r="O190" s="65"/>
      <c r="P190" s="65"/>
      <c r="Q190" s="65"/>
    </row>
    <row r="191" spans="1:17" ht="42.75" x14ac:dyDescent="0.45">
      <c r="A191" s="68"/>
      <c r="B191" s="66"/>
      <c r="C191" s="66"/>
      <c r="D191" s="66"/>
      <c r="E191" s="66"/>
      <c r="F191" s="11" t="s">
        <v>378</v>
      </c>
      <c r="G191" s="70"/>
      <c r="H191" s="73"/>
      <c r="I191" s="65"/>
      <c r="J191" s="69"/>
      <c r="K191" s="69"/>
      <c r="L191" s="65"/>
      <c r="M191" s="66"/>
      <c r="N191" s="69"/>
      <c r="O191" s="65"/>
      <c r="P191" s="65"/>
      <c r="Q191" s="65"/>
    </row>
    <row r="192" spans="1:17" ht="28.5" x14ac:dyDescent="0.45">
      <c r="A192" s="68"/>
      <c r="B192" s="66"/>
      <c r="C192" s="66"/>
      <c r="D192" s="66"/>
      <c r="E192" s="66"/>
      <c r="F192" s="11" t="s">
        <v>379</v>
      </c>
      <c r="G192" s="70"/>
      <c r="H192" s="73"/>
      <c r="I192" s="65"/>
      <c r="J192" s="69"/>
      <c r="K192" s="69"/>
      <c r="L192" s="65"/>
      <c r="M192" s="66"/>
      <c r="N192" s="69"/>
      <c r="O192" s="65"/>
      <c r="P192" s="65"/>
      <c r="Q192" s="65"/>
    </row>
    <row r="193" spans="1:17" x14ac:dyDescent="0.45">
      <c r="A193" s="14">
        <v>117</v>
      </c>
      <c r="B193" s="16" t="s">
        <v>382</v>
      </c>
      <c r="C193" s="16" t="s">
        <v>18</v>
      </c>
      <c r="D193" s="16" t="s">
        <v>19</v>
      </c>
      <c r="E193" s="16" t="s">
        <v>57</v>
      </c>
      <c r="F193" s="11" t="s">
        <v>383</v>
      </c>
      <c r="G193" s="15">
        <v>46126</v>
      </c>
      <c r="H193" s="18" t="s">
        <v>22</v>
      </c>
      <c r="I193" s="6" t="s">
        <v>23</v>
      </c>
      <c r="J193" s="12"/>
      <c r="K193" s="12"/>
      <c r="L193" s="39"/>
      <c r="M193" s="16"/>
      <c r="N193" s="12"/>
      <c r="O193" s="39" t="s">
        <v>384</v>
      </c>
      <c r="P193" s="39"/>
      <c r="Q193" s="39"/>
    </row>
    <row r="194" spans="1:17" ht="28.5" x14ac:dyDescent="0.45">
      <c r="A194" s="14">
        <v>118</v>
      </c>
      <c r="B194" s="16" t="s">
        <v>382</v>
      </c>
      <c r="C194" s="16" t="s">
        <v>18</v>
      </c>
      <c r="D194" s="16" t="s">
        <v>19</v>
      </c>
      <c r="E194" s="16" t="s">
        <v>20</v>
      </c>
      <c r="F194" s="36" t="s">
        <v>385</v>
      </c>
      <c r="G194" s="15">
        <v>46126</v>
      </c>
      <c r="H194" s="18" t="s">
        <v>22</v>
      </c>
      <c r="I194" s="39" t="s">
        <v>88</v>
      </c>
      <c r="J194" s="12"/>
      <c r="K194" s="12"/>
      <c r="L194" s="39"/>
      <c r="M194" s="16"/>
      <c r="N194" s="12"/>
      <c r="O194" s="39" t="s">
        <v>386</v>
      </c>
      <c r="P194" s="39"/>
      <c r="Q194" s="39"/>
    </row>
    <row r="195" spans="1:17" x14ac:dyDescent="0.45">
      <c r="A195" s="14">
        <v>119</v>
      </c>
      <c r="B195" s="16" t="s">
        <v>373</v>
      </c>
      <c r="C195" s="16" t="s">
        <v>18</v>
      </c>
      <c r="D195" s="16" t="s">
        <v>19</v>
      </c>
      <c r="E195" s="16" t="s">
        <v>20</v>
      </c>
      <c r="F195" s="52" t="s">
        <v>387</v>
      </c>
      <c r="G195" s="15">
        <v>46126</v>
      </c>
      <c r="H195" s="18" t="s">
        <v>388</v>
      </c>
      <c r="I195" s="39" t="s">
        <v>88</v>
      </c>
      <c r="J195" s="12"/>
      <c r="K195" s="12"/>
      <c r="L195" s="39"/>
      <c r="M195" s="16"/>
      <c r="N195" s="12"/>
      <c r="O195" s="39" t="s">
        <v>115</v>
      </c>
      <c r="P195" s="39"/>
      <c r="Q195" s="39"/>
    </row>
    <row r="196" spans="1:17" x14ac:dyDescent="0.45">
      <c r="A196" s="14">
        <v>120</v>
      </c>
      <c r="B196" s="16" t="s">
        <v>389</v>
      </c>
      <c r="C196" s="16" t="s">
        <v>18</v>
      </c>
      <c r="D196" s="16" t="s">
        <v>19</v>
      </c>
      <c r="E196" s="16" t="s">
        <v>57</v>
      </c>
      <c r="F196" s="11" t="s">
        <v>390</v>
      </c>
      <c r="G196" s="15">
        <v>46126</v>
      </c>
      <c r="H196" s="18" t="s">
        <v>22</v>
      </c>
      <c r="I196" s="39" t="s">
        <v>88</v>
      </c>
      <c r="J196" s="12"/>
      <c r="K196" s="12"/>
      <c r="L196" s="39"/>
      <c r="M196" s="16"/>
      <c r="N196" s="12"/>
      <c r="O196" s="39" t="s">
        <v>115</v>
      </c>
      <c r="P196" s="39"/>
      <c r="Q196" s="39"/>
    </row>
    <row r="197" spans="1:17" ht="28.5" x14ac:dyDescent="0.45">
      <c r="A197" s="14">
        <v>121</v>
      </c>
      <c r="B197" s="16" t="s">
        <v>391</v>
      </c>
      <c r="C197" s="16" t="s">
        <v>18</v>
      </c>
      <c r="D197" s="16" t="s">
        <v>19</v>
      </c>
      <c r="E197" s="16" t="s">
        <v>20</v>
      </c>
      <c r="F197" s="11" t="s">
        <v>392</v>
      </c>
      <c r="G197" s="15">
        <v>46126</v>
      </c>
      <c r="H197" s="18" t="s">
        <v>22</v>
      </c>
      <c r="I197" s="39" t="s">
        <v>88</v>
      </c>
      <c r="J197" s="12"/>
      <c r="K197" s="12"/>
      <c r="L197" s="39"/>
      <c r="M197" s="16"/>
      <c r="N197" s="12"/>
      <c r="O197" s="39" t="s">
        <v>115</v>
      </c>
      <c r="P197" s="39"/>
      <c r="Q197" s="39"/>
    </row>
    <row r="198" spans="1:17" ht="28.5" x14ac:dyDescent="0.45">
      <c r="A198" s="14">
        <v>122</v>
      </c>
      <c r="B198" s="16" t="s">
        <v>393</v>
      </c>
      <c r="C198" s="16" t="s">
        <v>18</v>
      </c>
      <c r="D198" s="16" t="s">
        <v>19</v>
      </c>
      <c r="E198" s="16" t="s">
        <v>57</v>
      </c>
      <c r="F198" s="11" t="s">
        <v>394</v>
      </c>
      <c r="G198" s="15">
        <v>46126</v>
      </c>
      <c r="H198" s="18" t="s">
        <v>22</v>
      </c>
      <c r="I198" s="39" t="s">
        <v>88</v>
      </c>
      <c r="J198" s="12"/>
      <c r="K198" s="12"/>
      <c r="L198" s="39"/>
      <c r="M198" s="16"/>
      <c r="N198" s="12"/>
      <c r="O198" s="39" t="s">
        <v>48</v>
      </c>
      <c r="P198" s="39"/>
      <c r="Q198" s="39"/>
    </row>
    <row r="199" spans="1:17" ht="28.5" x14ac:dyDescent="0.45">
      <c r="A199" s="68">
        <v>123</v>
      </c>
      <c r="B199" s="66" t="s">
        <v>395</v>
      </c>
      <c r="C199" s="66" t="s">
        <v>18</v>
      </c>
      <c r="D199" s="66" t="s">
        <v>50</v>
      </c>
      <c r="E199" s="66" t="s">
        <v>66</v>
      </c>
      <c r="F199" s="11" t="s">
        <v>396</v>
      </c>
      <c r="G199" s="70">
        <v>46127</v>
      </c>
      <c r="H199" s="73" t="s">
        <v>144</v>
      </c>
      <c r="I199" s="65"/>
      <c r="J199" s="69"/>
      <c r="K199" s="69"/>
      <c r="L199" s="65"/>
      <c r="M199" s="66"/>
      <c r="N199" s="69"/>
      <c r="O199" s="65" t="s">
        <v>398</v>
      </c>
      <c r="P199" s="65"/>
      <c r="Q199" s="65"/>
    </row>
    <row r="200" spans="1:17" ht="28.5" x14ac:dyDescent="0.45">
      <c r="A200" s="68"/>
      <c r="B200" s="66"/>
      <c r="C200" s="66"/>
      <c r="D200" s="66"/>
      <c r="E200" s="66"/>
      <c r="F200" s="11" t="s">
        <v>397</v>
      </c>
      <c r="G200" s="70"/>
      <c r="H200" s="73"/>
      <c r="I200" s="65"/>
      <c r="J200" s="69"/>
      <c r="K200" s="69"/>
      <c r="L200" s="65"/>
      <c r="M200" s="66"/>
      <c r="N200" s="69"/>
      <c r="O200" s="65"/>
      <c r="P200" s="65"/>
      <c r="Q200" s="65"/>
    </row>
    <row r="201" spans="1:17" ht="28.5" x14ac:dyDescent="0.45">
      <c r="A201" s="68">
        <v>124</v>
      </c>
      <c r="B201" s="66" t="s">
        <v>399</v>
      </c>
      <c r="C201" s="66" t="s">
        <v>18</v>
      </c>
      <c r="D201" s="66" t="s">
        <v>50</v>
      </c>
      <c r="E201" s="66" t="s">
        <v>66</v>
      </c>
      <c r="F201" s="11" t="s">
        <v>396</v>
      </c>
      <c r="G201" s="70">
        <v>46127</v>
      </c>
      <c r="H201" s="73" t="s">
        <v>144</v>
      </c>
      <c r="I201" s="65"/>
      <c r="J201" s="69"/>
      <c r="K201" s="69"/>
      <c r="L201" s="65"/>
      <c r="M201" s="66"/>
      <c r="N201" s="69"/>
      <c r="O201" s="65" t="s">
        <v>398</v>
      </c>
      <c r="P201" s="65"/>
      <c r="Q201" s="65"/>
    </row>
    <row r="202" spans="1:17" ht="28.5" x14ac:dyDescent="0.45">
      <c r="A202" s="68"/>
      <c r="B202" s="66"/>
      <c r="C202" s="66"/>
      <c r="D202" s="66"/>
      <c r="E202" s="66"/>
      <c r="F202" s="11" t="s">
        <v>400</v>
      </c>
      <c r="G202" s="70"/>
      <c r="H202" s="73"/>
      <c r="I202" s="65"/>
      <c r="J202" s="69"/>
      <c r="K202" s="69"/>
      <c r="L202" s="65"/>
      <c r="M202" s="66"/>
      <c r="N202" s="69"/>
      <c r="O202" s="65"/>
      <c r="P202" s="65"/>
      <c r="Q202" s="65"/>
    </row>
    <row r="203" spans="1:17" ht="28.5" x14ac:dyDescent="0.45">
      <c r="A203" s="68">
        <v>125</v>
      </c>
      <c r="B203" s="66" t="s">
        <v>401</v>
      </c>
      <c r="C203" s="66" t="s">
        <v>18</v>
      </c>
      <c r="D203" s="66" t="s">
        <v>50</v>
      </c>
      <c r="E203" s="66" t="s">
        <v>66</v>
      </c>
      <c r="F203" s="11" t="s">
        <v>402</v>
      </c>
      <c r="G203" s="70">
        <v>46127</v>
      </c>
      <c r="H203" s="73" t="s">
        <v>144</v>
      </c>
      <c r="I203" s="65"/>
      <c r="J203" s="69"/>
      <c r="K203" s="69"/>
      <c r="L203" s="65"/>
      <c r="M203" s="66"/>
      <c r="N203" s="69"/>
      <c r="O203" s="65" t="s">
        <v>398</v>
      </c>
      <c r="P203" s="65"/>
      <c r="Q203" s="65"/>
    </row>
    <row r="204" spans="1:17" ht="42.75" x14ac:dyDescent="0.45">
      <c r="A204" s="68"/>
      <c r="B204" s="66"/>
      <c r="C204" s="66"/>
      <c r="D204" s="66"/>
      <c r="E204" s="66"/>
      <c r="F204" s="11" t="s">
        <v>403</v>
      </c>
      <c r="G204" s="70"/>
      <c r="H204" s="73"/>
      <c r="I204" s="65"/>
      <c r="J204" s="69"/>
      <c r="K204" s="69"/>
      <c r="L204" s="65"/>
      <c r="M204" s="66"/>
      <c r="N204" s="69"/>
      <c r="O204" s="65"/>
      <c r="P204" s="65"/>
      <c r="Q204" s="65"/>
    </row>
    <row r="205" spans="1:17" ht="28.5" x14ac:dyDescent="0.45">
      <c r="A205" s="68">
        <v>126</v>
      </c>
      <c r="B205" s="66" t="s">
        <v>404</v>
      </c>
      <c r="C205" s="66" t="s">
        <v>18</v>
      </c>
      <c r="D205" s="66" t="s">
        <v>50</v>
      </c>
      <c r="E205" s="66" t="s">
        <v>66</v>
      </c>
      <c r="F205" s="11" t="s">
        <v>405</v>
      </c>
      <c r="G205" s="70">
        <v>46127</v>
      </c>
      <c r="H205" s="73" t="s">
        <v>144</v>
      </c>
      <c r="I205" s="65"/>
      <c r="J205" s="69"/>
      <c r="K205" s="69"/>
      <c r="L205" s="65"/>
      <c r="M205" s="66"/>
      <c r="N205" s="69"/>
      <c r="O205" s="65" t="s">
        <v>398</v>
      </c>
      <c r="P205" s="65"/>
      <c r="Q205" s="65"/>
    </row>
    <row r="206" spans="1:17" ht="42.75" x14ac:dyDescent="0.45">
      <c r="A206" s="68"/>
      <c r="B206" s="66"/>
      <c r="C206" s="66"/>
      <c r="D206" s="66"/>
      <c r="E206" s="66"/>
      <c r="F206" s="11" t="s">
        <v>406</v>
      </c>
      <c r="G206" s="70"/>
      <c r="H206" s="73"/>
      <c r="I206" s="65"/>
      <c r="J206" s="69"/>
      <c r="K206" s="69"/>
      <c r="L206" s="65"/>
      <c r="M206" s="66"/>
      <c r="N206" s="69"/>
      <c r="O206" s="65"/>
      <c r="P206" s="65"/>
      <c r="Q206" s="65"/>
    </row>
    <row r="207" spans="1:17" ht="28.5" x14ac:dyDescent="0.45">
      <c r="A207" s="14">
        <v>127</v>
      </c>
      <c r="B207" s="16" t="s">
        <v>249</v>
      </c>
      <c r="C207" s="16" t="s">
        <v>18</v>
      </c>
      <c r="D207" s="16" t="s">
        <v>19</v>
      </c>
      <c r="E207" s="16" t="s">
        <v>20</v>
      </c>
      <c r="F207" s="11" t="s">
        <v>407</v>
      </c>
      <c r="G207" s="15">
        <v>46127</v>
      </c>
      <c r="H207" s="18" t="s">
        <v>207</v>
      </c>
      <c r="I207" s="39"/>
      <c r="J207" s="12"/>
      <c r="K207" s="12"/>
      <c r="L207" s="39"/>
      <c r="M207" s="16"/>
      <c r="N207" s="12"/>
      <c r="O207" s="39" t="s">
        <v>408</v>
      </c>
      <c r="P207" s="39"/>
      <c r="Q207" s="39"/>
    </row>
    <row r="208" spans="1:17" x14ac:dyDescent="0.45">
      <c r="A208" s="14">
        <v>128</v>
      </c>
      <c r="B208" s="16" t="s">
        <v>409</v>
      </c>
      <c r="C208" s="16" t="s">
        <v>18</v>
      </c>
      <c r="D208" s="16" t="s">
        <v>19</v>
      </c>
      <c r="E208" s="16" t="s">
        <v>20</v>
      </c>
      <c r="F208" s="11" t="s">
        <v>410</v>
      </c>
      <c r="G208" s="15">
        <v>46127</v>
      </c>
      <c r="H208" s="18" t="s">
        <v>144</v>
      </c>
      <c r="I208" s="39"/>
      <c r="J208" s="12"/>
      <c r="K208" s="12"/>
      <c r="L208" s="39"/>
      <c r="M208" s="16"/>
      <c r="N208" s="12"/>
      <c r="O208" s="39" t="s">
        <v>384</v>
      </c>
      <c r="P208" s="39"/>
      <c r="Q208" s="39"/>
    </row>
    <row r="209" spans="1:17" x14ac:dyDescent="0.45">
      <c r="A209" s="14">
        <v>129</v>
      </c>
      <c r="B209" s="16" t="s">
        <v>411</v>
      </c>
      <c r="C209" s="16" t="s">
        <v>18</v>
      </c>
      <c r="D209" s="16" t="s">
        <v>19</v>
      </c>
      <c r="E209" s="16" t="s">
        <v>66</v>
      </c>
      <c r="F209" s="11" t="s">
        <v>412</v>
      </c>
      <c r="G209" s="15">
        <v>46127</v>
      </c>
      <c r="H209" s="18" t="s">
        <v>144</v>
      </c>
      <c r="I209" s="39"/>
      <c r="J209" s="12"/>
      <c r="K209" s="12"/>
      <c r="L209" s="39"/>
      <c r="M209" s="16"/>
      <c r="N209" s="12"/>
      <c r="O209" s="39" t="s">
        <v>337</v>
      </c>
      <c r="P209" s="39"/>
      <c r="Q209" s="39"/>
    </row>
    <row r="210" spans="1:17" ht="28.5" x14ac:dyDescent="0.45">
      <c r="A210" s="14">
        <v>130</v>
      </c>
      <c r="B210" s="16" t="s">
        <v>413</v>
      </c>
      <c r="C210" s="16" t="s">
        <v>18</v>
      </c>
      <c r="D210" s="16" t="s">
        <v>19</v>
      </c>
      <c r="E210" s="16" t="s">
        <v>20</v>
      </c>
      <c r="F210" s="11" t="s">
        <v>414</v>
      </c>
      <c r="G210" s="15">
        <v>46127</v>
      </c>
      <c r="H210" s="18" t="s">
        <v>207</v>
      </c>
      <c r="I210" s="39"/>
      <c r="J210" s="12"/>
      <c r="K210" s="12"/>
      <c r="L210" s="39"/>
      <c r="M210" s="16"/>
      <c r="N210" s="12"/>
      <c r="O210" s="39" t="s">
        <v>111</v>
      </c>
      <c r="P210" s="39"/>
      <c r="Q210" s="39"/>
    </row>
    <row r="211" spans="1:17" ht="28.5" x14ac:dyDescent="0.45">
      <c r="A211" s="14">
        <v>131</v>
      </c>
      <c r="B211" s="16" t="s">
        <v>415</v>
      </c>
      <c r="C211" s="16" t="s">
        <v>18</v>
      </c>
      <c r="D211" s="16" t="s">
        <v>19</v>
      </c>
      <c r="E211" s="16" t="s">
        <v>20</v>
      </c>
      <c r="F211" s="11" t="s">
        <v>416</v>
      </c>
      <c r="G211" s="15">
        <v>46128</v>
      </c>
      <c r="H211" s="18" t="s">
        <v>207</v>
      </c>
      <c r="I211" s="39"/>
      <c r="J211" s="12"/>
      <c r="K211" s="12"/>
      <c r="L211" s="39"/>
      <c r="M211" s="16"/>
      <c r="N211" s="12"/>
      <c r="O211" s="39" t="s">
        <v>111</v>
      </c>
      <c r="P211" s="39"/>
      <c r="Q211" s="39"/>
    </row>
    <row r="212" spans="1:17" ht="28.5" x14ac:dyDescent="0.45">
      <c r="A212" s="68">
        <v>132</v>
      </c>
      <c r="B212" s="66" t="s">
        <v>417</v>
      </c>
      <c r="C212" s="66" t="s">
        <v>18</v>
      </c>
      <c r="D212" s="66" t="s">
        <v>19</v>
      </c>
      <c r="E212" s="66" t="s">
        <v>20</v>
      </c>
      <c r="F212" s="37" t="s">
        <v>418</v>
      </c>
      <c r="G212" s="70">
        <v>46128</v>
      </c>
      <c r="H212" s="73" t="s">
        <v>42</v>
      </c>
      <c r="I212" s="65"/>
      <c r="J212" s="69"/>
      <c r="K212" s="69"/>
      <c r="L212" s="65"/>
      <c r="M212" s="66"/>
      <c r="N212" s="69"/>
      <c r="O212" s="65" t="s">
        <v>102</v>
      </c>
      <c r="P212" s="65"/>
      <c r="Q212" s="65"/>
    </row>
    <row r="213" spans="1:17" ht="28.5" x14ac:dyDescent="0.45">
      <c r="A213" s="68"/>
      <c r="B213" s="66"/>
      <c r="C213" s="66"/>
      <c r="D213" s="66"/>
      <c r="E213" s="66"/>
      <c r="F213" s="37" t="s">
        <v>419</v>
      </c>
      <c r="G213" s="70"/>
      <c r="H213" s="73"/>
      <c r="I213" s="65"/>
      <c r="J213" s="69"/>
      <c r="K213" s="69"/>
      <c r="L213" s="65"/>
      <c r="M213" s="66"/>
      <c r="N213" s="69"/>
      <c r="O213" s="65"/>
      <c r="P213" s="65"/>
      <c r="Q213" s="65"/>
    </row>
    <row r="214" spans="1:17" ht="57" x14ac:dyDescent="0.45">
      <c r="A214" s="68"/>
      <c r="B214" s="66"/>
      <c r="C214" s="66"/>
      <c r="D214" s="66"/>
      <c r="E214" s="66"/>
      <c r="F214" s="37" t="s">
        <v>420</v>
      </c>
      <c r="G214" s="70"/>
      <c r="H214" s="73"/>
      <c r="I214" s="65"/>
      <c r="J214" s="69"/>
      <c r="K214" s="69"/>
      <c r="L214" s="65"/>
      <c r="M214" s="66"/>
      <c r="N214" s="69"/>
      <c r="O214" s="65"/>
      <c r="P214" s="65"/>
      <c r="Q214" s="65"/>
    </row>
    <row r="215" spans="1:17" ht="42.75" x14ac:dyDescent="0.45">
      <c r="A215" s="14">
        <v>133</v>
      </c>
      <c r="B215" s="16" t="s">
        <v>421</v>
      </c>
      <c r="C215" s="16" t="s">
        <v>18</v>
      </c>
      <c r="D215" s="16" t="s">
        <v>19</v>
      </c>
      <c r="E215" s="16" t="s">
        <v>20</v>
      </c>
      <c r="F215" s="36" t="s">
        <v>422</v>
      </c>
      <c r="G215" s="15">
        <v>46129</v>
      </c>
      <c r="H215" s="18" t="s">
        <v>22</v>
      </c>
      <c r="I215" s="39" t="s">
        <v>423</v>
      </c>
      <c r="J215" s="12"/>
      <c r="K215" s="12"/>
      <c r="L215" s="39"/>
      <c r="M215" s="16"/>
      <c r="N215" s="12"/>
      <c r="O215" s="39" t="s">
        <v>386</v>
      </c>
      <c r="P215" s="39"/>
      <c r="Q215" s="39"/>
    </row>
    <row r="216" spans="1:17" ht="28.5" x14ac:dyDescent="0.45">
      <c r="A216" s="14">
        <v>134</v>
      </c>
      <c r="B216" s="16" t="s">
        <v>103</v>
      </c>
      <c r="C216" s="16" t="s">
        <v>18</v>
      </c>
      <c r="D216" s="16" t="s">
        <v>19</v>
      </c>
      <c r="E216" s="16" t="s">
        <v>57</v>
      </c>
      <c r="F216" s="11" t="s">
        <v>424</v>
      </c>
      <c r="G216" s="15">
        <v>46129</v>
      </c>
      <c r="H216" s="18" t="s">
        <v>425</v>
      </c>
      <c r="I216" s="39" t="s">
        <v>426</v>
      </c>
      <c r="J216" s="12"/>
      <c r="K216" s="12"/>
      <c r="L216" s="39"/>
      <c r="M216" s="16"/>
      <c r="N216" s="12"/>
      <c r="O216" s="39" t="s">
        <v>63</v>
      </c>
      <c r="P216" s="39"/>
      <c r="Q216" s="39"/>
    </row>
    <row r="217" spans="1:17" ht="28.5" x14ac:dyDescent="0.45">
      <c r="A217" s="14">
        <v>135</v>
      </c>
      <c r="B217" s="16" t="s">
        <v>35</v>
      </c>
      <c r="C217" s="16" t="s">
        <v>18</v>
      </c>
      <c r="D217" s="16" t="s">
        <v>19</v>
      </c>
      <c r="E217" s="16" t="s">
        <v>20</v>
      </c>
      <c r="F217" s="11" t="s">
        <v>427</v>
      </c>
      <c r="G217" s="15">
        <v>46129</v>
      </c>
      <c r="H217" s="18" t="s">
        <v>42</v>
      </c>
      <c r="I217" s="39" t="s">
        <v>88</v>
      </c>
      <c r="J217" s="12"/>
      <c r="K217" s="12"/>
      <c r="L217" s="39"/>
      <c r="M217" s="16"/>
      <c r="N217" s="12"/>
      <c r="O217" s="39" t="s">
        <v>63</v>
      </c>
      <c r="P217" s="39"/>
      <c r="Q217" s="39"/>
    </row>
    <row r="218" spans="1:17" x14ac:dyDescent="0.45">
      <c r="A218" s="14">
        <v>136</v>
      </c>
      <c r="B218" s="16" t="s">
        <v>103</v>
      </c>
      <c r="C218" s="16" t="s">
        <v>18</v>
      </c>
      <c r="D218" s="16" t="s">
        <v>50</v>
      </c>
      <c r="E218" s="16" t="s">
        <v>57</v>
      </c>
      <c r="F218" s="11" t="s">
        <v>428</v>
      </c>
      <c r="G218" s="15">
        <v>46129</v>
      </c>
      <c r="H218" s="18" t="s">
        <v>343</v>
      </c>
      <c r="I218" s="39" t="s">
        <v>88</v>
      </c>
      <c r="J218" s="12"/>
      <c r="K218" s="12"/>
      <c r="L218" s="39"/>
      <c r="M218" s="16"/>
      <c r="N218" s="12"/>
      <c r="O218" s="39" t="s">
        <v>63</v>
      </c>
      <c r="P218" s="39"/>
      <c r="Q218" s="39"/>
    </row>
    <row r="219" spans="1:17" ht="71.25" x14ac:dyDescent="0.45">
      <c r="A219" s="14">
        <v>137</v>
      </c>
      <c r="B219" s="16" t="s">
        <v>429</v>
      </c>
      <c r="C219" s="16" t="s">
        <v>18</v>
      </c>
      <c r="D219" s="16" t="s">
        <v>50</v>
      </c>
      <c r="E219" s="16" t="s">
        <v>57</v>
      </c>
      <c r="F219" s="11" t="s">
        <v>430</v>
      </c>
      <c r="G219" s="15">
        <v>46129</v>
      </c>
      <c r="H219" s="18" t="s">
        <v>425</v>
      </c>
      <c r="I219" s="39" t="s">
        <v>88</v>
      </c>
      <c r="J219" s="12"/>
      <c r="K219" s="12"/>
      <c r="L219" s="39"/>
      <c r="M219" s="16"/>
      <c r="N219" s="12"/>
      <c r="O219" s="39" t="s">
        <v>73</v>
      </c>
      <c r="P219" s="39"/>
      <c r="Q219" s="39"/>
    </row>
    <row r="220" spans="1:17" ht="28.5" x14ac:dyDescent="0.45">
      <c r="A220" s="68">
        <v>138</v>
      </c>
      <c r="B220" s="66" t="s">
        <v>103</v>
      </c>
      <c r="C220" s="66" t="s">
        <v>18</v>
      </c>
      <c r="D220" s="66" t="s">
        <v>19</v>
      </c>
      <c r="E220" s="66" t="s">
        <v>57</v>
      </c>
      <c r="F220" s="11" t="s">
        <v>431</v>
      </c>
      <c r="G220" s="70">
        <v>46129</v>
      </c>
      <c r="H220" s="73" t="s">
        <v>425</v>
      </c>
      <c r="I220" s="65" t="s">
        <v>88</v>
      </c>
      <c r="J220" s="69"/>
      <c r="K220" s="69"/>
      <c r="L220" s="65"/>
      <c r="M220" s="66"/>
      <c r="N220" s="69"/>
      <c r="O220" s="65" t="s">
        <v>48</v>
      </c>
      <c r="P220" s="65"/>
      <c r="Q220" s="65"/>
    </row>
    <row r="221" spans="1:17" x14ac:dyDescent="0.45">
      <c r="A221" s="68"/>
      <c r="B221" s="66"/>
      <c r="C221" s="66"/>
      <c r="D221" s="66"/>
      <c r="E221" s="66"/>
      <c r="F221" s="11" t="s">
        <v>432</v>
      </c>
      <c r="G221" s="70"/>
      <c r="H221" s="73"/>
      <c r="I221" s="65"/>
      <c r="J221" s="69"/>
      <c r="K221" s="69"/>
      <c r="L221" s="65"/>
      <c r="M221" s="66"/>
      <c r="N221" s="69"/>
      <c r="O221" s="65"/>
      <c r="P221" s="65"/>
      <c r="Q221" s="65"/>
    </row>
    <row r="222" spans="1:17" ht="28.5" x14ac:dyDescent="0.45">
      <c r="A222" s="14">
        <v>139</v>
      </c>
      <c r="B222" s="16" t="s">
        <v>35</v>
      </c>
      <c r="C222" s="16" t="s">
        <v>18</v>
      </c>
      <c r="D222" s="16" t="s">
        <v>50</v>
      </c>
      <c r="E222" s="16" t="s">
        <v>57</v>
      </c>
      <c r="F222" s="34" t="s">
        <v>433</v>
      </c>
      <c r="G222" s="15">
        <v>46129</v>
      </c>
      <c r="H222" s="18" t="s">
        <v>425</v>
      </c>
      <c r="I222" s="39" t="s">
        <v>88</v>
      </c>
      <c r="J222" s="12"/>
      <c r="K222" s="12"/>
      <c r="L222" s="39"/>
      <c r="M222" s="16"/>
      <c r="N222" s="12"/>
      <c r="O222" s="16" t="s">
        <v>337</v>
      </c>
      <c r="P222" s="39"/>
      <c r="Q222" s="39"/>
    </row>
    <row r="223" spans="1:17" x14ac:dyDescent="0.45">
      <c r="A223" s="68">
        <v>140</v>
      </c>
      <c r="B223" s="66" t="s">
        <v>103</v>
      </c>
      <c r="C223" s="66" t="s">
        <v>18</v>
      </c>
      <c r="D223" s="66" t="s">
        <v>19</v>
      </c>
      <c r="E223" s="66" t="s">
        <v>57</v>
      </c>
      <c r="F223" s="11" t="s">
        <v>434</v>
      </c>
      <c r="G223" s="70">
        <v>46129</v>
      </c>
      <c r="H223" s="73" t="s">
        <v>425</v>
      </c>
      <c r="I223" s="65" t="s">
        <v>88</v>
      </c>
      <c r="J223" s="69"/>
      <c r="K223" s="69"/>
      <c r="L223" s="65"/>
      <c r="M223" s="66"/>
      <c r="N223" s="69"/>
      <c r="O223" s="65" t="s">
        <v>63</v>
      </c>
      <c r="P223" s="65"/>
      <c r="Q223" s="65"/>
    </row>
    <row r="224" spans="1:17" ht="28.5" x14ac:dyDescent="0.45">
      <c r="A224" s="68"/>
      <c r="B224" s="66"/>
      <c r="C224" s="66"/>
      <c r="D224" s="66"/>
      <c r="E224" s="66"/>
      <c r="F224" s="11" t="s">
        <v>435</v>
      </c>
      <c r="G224" s="70"/>
      <c r="H224" s="73"/>
      <c r="I224" s="65"/>
      <c r="J224" s="69"/>
      <c r="K224" s="69"/>
      <c r="L224" s="65"/>
      <c r="M224" s="66"/>
      <c r="N224" s="69"/>
      <c r="O224" s="65"/>
      <c r="P224" s="65"/>
      <c r="Q224" s="65"/>
    </row>
    <row r="225" spans="1:17" x14ac:dyDescent="0.45">
      <c r="A225" s="14">
        <v>141</v>
      </c>
      <c r="B225" s="16" t="s">
        <v>436</v>
      </c>
      <c r="C225" s="16" t="s">
        <v>18</v>
      </c>
      <c r="D225" s="16" t="s">
        <v>19</v>
      </c>
      <c r="E225" s="16" t="s">
        <v>57</v>
      </c>
      <c r="F225" s="11" t="s">
        <v>437</v>
      </c>
      <c r="G225" s="15">
        <v>46129</v>
      </c>
      <c r="H225" s="18" t="s">
        <v>388</v>
      </c>
      <c r="I225" s="39" t="s">
        <v>88</v>
      </c>
      <c r="J225" s="12"/>
      <c r="K225" s="12"/>
      <c r="L225" s="39"/>
      <c r="M225" s="16"/>
      <c r="N225" s="12"/>
      <c r="O225" s="39" t="s">
        <v>48</v>
      </c>
      <c r="P225" s="39"/>
      <c r="Q225" s="39"/>
    </row>
    <row r="226" spans="1:17" ht="28.5" x14ac:dyDescent="0.45">
      <c r="A226" s="14">
        <v>142</v>
      </c>
      <c r="B226" s="16" t="s">
        <v>103</v>
      </c>
      <c r="C226" s="16" t="s">
        <v>18</v>
      </c>
      <c r="D226" s="16" t="s">
        <v>19</v>
      </c>
      <c r="E226" s="16" t="s">
        <v>57</v>
      </c>
      <c r="F226" s="11" t="s">
        <v>438</v>
      </c>
      <c r="G226" s="15">
        <v>46129</v>
      </c>
      <c r="H226" s="18" t="s">
        <v>425</v>
      </c>
      <c r="I226" s="39" t="s">
        <v>426</v>
      </c>
      <c r="J226" s="12"/>
      <c r="K226" s="12"/>
      <c r="L226" s="39"/>
      <c r="M226" s="16"/>
      <c r="N226" s="12"/>
      <c r="O226" s="39" t="s">
        <v>439</v>
      </c>
      <c r="P226" s="39"/>
      <c r="Q226" s="39"/>
    </row>
    <row r="227" spans="1:17" ht="28.5" x14ac:dyDescent="0.45">
      <c r="A227" s="14">
        <v>143</v>
      </c>
      <c r="B227" s="16" t="s">
        <v>436</v>
      </c>
      <c r="C227" s="16" t="s">
        <v>18</v>
      </c>
      <c r="D227" s="16" t="s">
        <v>19</v>
      </c>
      <c r="E227" s="16" t="s">
        <v>57</v>
      </c>
      <c r="F227" s="11" t="s">
        <v>440</v>
      </c>
      <c r="G227" s="15">
        <v>46129</v>
      </c>
      <c r="H227" s="18" t="s">
        <v>22</v>
      </c>
      <c r="I227" s="39" t="s">
        <v>426</v>
      </c>
      <c r="J227" s="12"/>
      <c r="K227" s="12"/>
      <c r="L227" s="39"/>
      <c r="M227" s="16"/>
      <c r="N227" s="12"/>
      <c r="O227" s="39" t="s">
        <v>63</v>
      </c>
      <c r="P227" s="39"/>
      <c r="Q227" s="39"/>
    </row>
    <row r="228" spans="1:17" x14ac:dyDescent="0.45">
      <c r="A228" s="14">
        <v>144</v>
      </c>
      <c r="B228" s="16" t="s">
        <v>436</v>
      </c>
      <c r="C228" s="16" t="s">
        <v>18</v>
      </c>
      <c r="D228" s="16" t="s">
        <v>19</v>
      </c>
      <c r="E228" s="16" t="s">
        <v>20</v>
      </c>
      <c r="F228" s="11" t="s">
        <v>441</v>
      </c>
      <c r="G228" s="15">
        <v>46129</v>
      </c>
      <c r="H228" s="18" t="s">
        <v>22</v>
      </c>
      <c r="I228" s="39" t="s">
        <v>88</v>
      </c>
      <c r="J228" s="12"/>
      <c r="K228" s="12"/>
      <c r="L228" s="39"/>
      <c r="M228" s="16"/>
      <c r="N228" s="12"/>
      <c r="O228" s="39" t="s">
        <v>48</v>
      </c>
      <c r="P228" s="39"/>
      <c r="Q228" s="39"/>
    </row>
    <row r="229" spans="1:17" x14ac:dyDescent="0.45">
      <c r="A229" s="14">
        <v>145</v>
      </c>
      <c r="B229" s="16" t="s">
        <v>442</v>
      </c>
      <c r="C229" s="16" t="s">
        <v>18</v>
      </c>
      <c r="D229" s="16"/>
      <c r="E229" s="16" t="s">
        <v>57</v>
      </c>
      <c r="F229" s="11" t="s">
        <v>443</v>
      </c>
      <c r="G229" s="15">
        <v>46130</v>
      </c>
      <c r="H229" s="18" t="s">
        <v>42</v>
      </c>
      <c r="I229" s="39"/>
      <c r="J229" s="12"/>
      <c r="K229" s="12"/>
      <c r="L229" s="39"/>
      <c r="M229" s="16"/>
      <c r="N229" s="12"/>
      <c r="O229" s="39" t="s">
        <v>48</v>
      </c>
      <c r="P229" s="39"/>
      <c r="Q229" s="39"/>
    </row>
    <row r="230" spans="1:17" x14ac:dyDescent="0.45">
      <c r="A230" s="68">
        <v>146</v>
      </c>
      <c r="B230" s="66" t="s">
        <v>442</v>
      </c>
      <c r="C230" s="66" t="s">
        <v>18</v>
      </c>
      <c r="D230" s="66"/>
      <c r="E230" s="66" t="s">
        <v>57</v>
      </c>
      <c r="F230" s="11" t="s">
        <v>444</v>
      </c>
      <c r="G230" s="70">
        <v>46130</v>
      </c>
      <c r="H230" s="73" t="s">
        <v>42</v>
      </c>
      <c r="I230" s="65"/>
      <c r="J230" s="69"/>
      <c r="K230" s="69"/>
      <c r="L230" s="65"/>
      <c r="M230" s="66"/>
      <c r="N230" s="69"/>
      <c r="O230" s="65" t="s">
        <v>447</v>
      </c>
      <c r="P230" s="65"/>
      <c r="Q230" s="65"/>
    </row>
    <row r="231" spans="1:17" x14ac:dyDescent="0.45">
      <c r="A231" s="68"/>
      <c r="B231" s="66"/>
      <c r="C231" s="66"/>
      <c r="D231" s="66"/>
      <c r="E231" s="66"/>
      <c r="F231" s="10"/>
      <c r="G231" s="70"/>
      <c r="H231" s="73"/>
      <c r="I231" s="65"/>
      <c r="J231" s="69"/>
      <c r="K231" s="69"/>
      <c r="L231" s="65"/>
      <c r="M231" s="66"/>
      <c r="N231" s="69"/>
      <c r="O231" s="65"/>
      <c r="P231" s="65"/>
      <c r="Q231" s="65"/>
    </row>
    <row r="232" spans="1:17" ht="28.5" x14ac:dyDescent="0.45">
      <c r="A232" s="68"/>
      <c r="B232" s="66"/>
      <c r="C232" s="66"/>
      <c r="D232" s="66"/>
      <c r="E232" s="66"/>
      <c r="F232" s="11" t="s">
        <v>445</v>
      </c>
      <c r="G232" s="70"/>
      <c r="H232" s="73"/>
      <c r="I232" s="65"/>
      <c r="J232" s="69"/>
      <c r="K232" s="69"/>
      <c r="L232" s="65"/>
      <c r="M232" s="66"/>
      <c r="N232" s="69"/>
      <c r="O232" s="65"/>
      <c r="P232" s="65"/>
      <c r="Q232" s="65"/>
    </row>
    <row r="233" spans="1:17" x14ac:dyDescent="0.45">
      <c r="A233" s="68"/>
      <c r="B233" s="66"/>
      <c r="C233" s="66"/>
      <c r="D233" s="66"/>
      <c r="E233" s="66"/>
      <c r="F233" s="11"/>
      <c r="G233" s="70"/>
      <c r="H233" s="73"/>
      <c r="I233" s="65"/>
      <c r="J233" s="69"/>
      <c r="K233" s="69"/>
      <c r="L233" s="65"/>
      <c r="M233" s="66"/>
      <c r="N233" s="69"/>
      <c r="O233" s="65"/>
      <c r="P233" s="65"/>
      <c r="Q233" s="65"/>
    </row>
    <row r="234" spans="1:17" ht="28.5" x14ac:dyDescent="0.45">
      <c r="A234" s="68"/>
      <c r="B234" s="66"/>
      <c r="C234" s="66"/>
      <c r="D234" s="66"/>
      <c r="E234" s="66"/>
      <c r="F234" s="11" t="s">
        <v>446</v>
      </c>
      <c r="G234" s="70"/>
      <c r="H234" s="73"/>
      <c r="I234" s="65"/>
      <c r="J234" s="69"/>
      <c r="K234" s="69"/>
      <c r="L234" s="65"/>
      <c r="M234" s="66"/>
      <c r="N234" s="69"/>
      <c r="O234" s="65"/>
      <c r="P234" s="65"/>
      <c r="Q234" s="65"/>
    </row>
    <row r="235" spans="1:17" x14ac:dyDescent="0.45">
      <c r="A235" s="68">
        <v>147</v>
      </c>
      <c r="B235" s="66" t="s">
        <v>442</v>
      </c>
      <c r="C235" s="66" t="s">
        <v>18</v>
      </c>
      <c r="D235" s="66" t="s">
        <v>19</v>
      </c>
      <c r="E235" s="66" t="s">
        <v>20</v>
      </c>
      <c r="F235" s="24" t="s">
        <v>448</v>
      </c>
      <c r="G235" s="70">
        <v>46130</v>
      </c>
      <c r="H235" s="73" t="s">
        <v>42</v>
      </c>
      <c r="I235" s="65"/>
      <c r="J235" s="69"/>
      <c r="K235" s="69"/>
      <c r="L235" s="65"/>
      <c r="M235" s="66"/>
      <c r="N235" s="69"/>
      <c r="O235" s="65" t="s">
        <v>73</v>
      </c>
      <c r="P235" s="65"/>
      <c r="Q235" s="65"/>
    </row>
    <row r="236" spans="1:17" x14ac:dyDescent="0.45">
      <c r="A236" s="68"/>
      <c r="B236" s="66"/>
      <c r="C236" s="66"/>
      <c r="D236" s="66"/>
      <c r="E236" s="66"/>
      <c r="F236" s="24" t="s">
        <v>449</v>
      </c>
      <c r="G236" s="70"/>
      <c r="H236" s="73"/>
      <c r="I236" s="65"/>
      <c r="J236" s="69"/>
      <c r="K236" s="69"/>
      <c r="L236" s="65"/>
      <c r="M236" s="66"/>
      <c r="N236" s="69"/>
      <c r="O236" s="65"/>
      <c r="P236" s="65"/>
      <c r="Q236" s="65"/>
    </row>
  </sheetData>
  <autoFilter ref="A1:Q236" xr:uid="{A1D28BEA-4422-41D8-B599-AD7035F3472A}"/>
  <mergeCells count="698">
    <mergeCell ref="P235:P236"/>
    <mergeCell ref="Q235:Q236"/>
    <mergeCell ref="J235:J236"/>
    <mergeCell ref="K235:K236"/>
    <mergeCell ref="L235:L236"/>
    <mergeCell ref="M235:M236"/>
    <mergeCell ref="N235:N236"/>
    <mergeCell ref="O235:O236"/>
    <mergeCell ref="P230:P234"/>
    <mergeCell ref="Q230:Q234"/>
    <mergeCell ref="K230:K234"/>
    <mergeCell ref="L230:L234"/>
    <mergeCell ref="M230:M234"/>
    <mergeCell ref="N230:N234"/>
    <mergeCell ref="O230:O234"/>
    <mergeCell ref="A235:A236"/>
    <mergeCell ref="B235:B236"/>
    <mergeCell ref="C235:C236"/>
    <mergeCell ref="D235:D236"/>
    <mergeCell ref="E235:E236"/>
    <mergeCell ref="G235:G236"/>
    <mergeCell ref="H235:H236"/>
    <mergeCell ref="I235:I236"/>
    <mergeCell ref="J230:J234"/>
    <mergeCell ref="A230:A234"/>
    <mergeCell ref="B230:B234"/>
    <mergeCell ref="C230:C234"/>
    <mergeCell ref="D230:D234"/>
    <mergeCell ref="E230:E234"/>
    <mergeCell ref="G230:G234"/>
    <mergeCell ref="H230:H234"/>
    <mergeCell ref="I230:I234"/>
    <mergeCell ref="J223:J224"/>
    <mergeCell ref="P220:P221"/>
    <mergeCell ref="Q220:Q221"/>
    <mergeCell ref="A223:A224"/>
    <mergeCell ref="B223:B224"/>
    <mergeCell ref="C223:C224"/>
    <mergeCell ref="D223:D224"/>
    <mergeCell ref="E223:E224"/>
    <mergeCell ref="G223:G224"/>
    <mergeCell ref="H223:H224"/>
    <mergeCell ref="I223:I224"/>
    <mergeCell ref="J220:J221"/>
    <mergeCell ref="K220:K221"/>
    <mergeCell ref="L220:L221"/>
    <mergeCell ref="M220:M221"/>
    <mergeCell ref="N220:N221"/>
    <mergeCell ref="O220:O221"/>
    <mergeCell ref="P223:P224"/>
    <mergeCell ref="Q223:Q224"/>
    <mergeCell ref="K223:K224"/>
    <mergeCell ref="L223:L224"/>
    <mergeCell ref="M223:M224"/>
    <mergeCell ref="N223:N224"/>
    <mergeCell ref="O223:O224"/>
    <mergeCell ref="A220:A221"/>
    <mergeCell ref="B220:B221"/>
    <mergeCell ref="C220:C221"/>
    <mergeCell ref="D220:D221"/>
    <mergeCell ref="E220:E221"/>
    <mergeCell ref="G220:G221"/>
    <mergeCell ref="H220:H221"/>
    <mergeCell ref="I220:I221"/>
    <mergeCell ref="J212:J214"/>
    <mergeCell ref="P205:P206"/>
    <mergeCell ref="Q205:Q206"/>
    <mergeCell ref="A212:A214"/>
    <mergeCell ref="B212:B214"/>
    <mergeCell ref="C212:C214"/>
    <mergeCell ref="D212:D214"/>
    <mergeCell ref="E212:E214"/>
    <mergeCell ref="G212:G214"/>
    <mergeCell ref="H212:H214"/>
    <mergeCell ref="I212:I214"/>
    <mergeCell ref="J205:J206"/>
    <mergeCell ref="K205:K206"/>
    <mergeCell ref="L205:L206"/>
    <mergeCell ref="M205:M206"/>
    <mergeCell ref="N205:N206"/>
    <mergeCell ref="O205:O206"/>
    <mergeCell ref="P212:P214"/>
    <mergeCell ref="Q212:Q214"/>
    <mergeCell ref="K212:K214"/>
    <mergeCell ref="L212:L214"/>
    <mergeCell ref="M212:M214"/>
    <mergeCell ref="N212:N214"/>
    <mergeCell ref="O212:O214"/>
    <mergeCell ref="A205:A206"/>
    <mergeCell ref="B205:B206"/>
    <mergeCell ref="C205:C206"/>
    <mergeCell ref="D205:D206"/>
    <mergeCell ref="E205:E206"/>
    <mergeCell ref="G205:G206"/>
    <mergeCell ref="H205:H206"/>
    <mergeCell ref="I205:I206"/>
    <mergeCell ref="J203:J204"/>
    <mergeCell ref="P201:P202"/>
    <mergeCell ref="Q201:Q202"/>
    <mergeCell ref="A203:A204"/>
    <mergeCell ref="B203:B204"/>
    <mergeCell ref="C203:C204"/>
    <mergeCell ref="D203:D204"/>
    <mergeCell ref="E203:E204"/>
    <mergeCell ref="G203:G204"/>
    <mergeCell ref="H203:H204"/>
    <mergeCell ref="I203:I204"/>
    <mergeCell ref="J201:J202"/>
    <mergeCell ref="K201:K202"/>
    <mergeCell ref="L201:L202"/>
    <mergeCell ref="M201:M202"/>
    <mergeCell ref="N201:N202"/>
    <mergeCell ref="O201:O202"/>
    <mergeCell ref="P203:P204"/>
    <mergeCell ref="Q203:Q204"/>
    <mergeCell ref="K203:K204"/>
    <mergeCell ref="L203:L204"/>
    <mergeCell ref="M203:M204"/>
    <mergeCell ref="N203:N204"/>
    <mergeCell ref="O203:O204"/>
    <mergeCell ref="A201:A202"/>
    <mergeCell ref="B201:B202"/>
    <mergeCell ref="C201:C202"/>
    <mergeCell ref="D201:D202"/>
    <mergeCell ref="E201:E202"/>
    <mergeCell ref="G201:G202"/>
    <mergeCell ref="H201:H202"/>
    <mergeCell ref="I201:I202"/>
    <mergeCell ref="J199:J200"/>
    <mergeCell ref="P189:P192"/>
    <mergeCell ref="Q189:Q192"/>
    <mergeCell ref="A199:A200"/>
    <mergeCell ref="B199:B200"/>
    <mergeCell ref="C199:C200"/>
    <mergeCell ref="D199:D200"/>
    <mergeCell ref="E199:E200"/>
    <mergeCell ref="G199:G200"/>
    <mergeCell ref="H199:H200"/>
    <mergeCell ref="I199:I200"/>
    <mergeCell ref="J189:J192"/>
    <mergeCell ref="K189:K192"/>
    <mergeCell ref="L189:L192"/>
    <mergeCell ref="M189:M192"/>
    <mergeCell ref="N189:N192"/>
    <mergeCell ref="O189:O192"/>
    <mergeCell ref="P199:P200"/>
    <mergeCell ref="Q199:Q200"/>
    <mergeCell ref="K199:K200"/>
    <mergeCell ref="L199:L200"/>
    <mergeCell ref="M199:M200"/>
    <mergeCell ref="N199:N200"/>
    <mergeCell ref="O199:O200"/>
    <mergeCell ref="A189:A192"/>
    <mergeCell ref="B189:B192"/>
    <mergeCell ref="C189:C192"/>
    <mergeCell ref="D189:D192"/>
    <mergeCell ref="E189:E192"/>
    <mergeCell ref="G189:G192"/>
    <mergeCell ref="H189:H192"/>
    <mergeCell ref="I189:I192"/>
    <mergeCell ref="J178:J179"/>
    <mergeCell ref="P169:P170"/>
    <mergeCell ref="Q169:Q170"/>
    <mergeCell ref="A178:A179"/>
    <mergeCell ref="B178:B179"/>
    <mergeCell ref="C178:C179"/>
    <mergeCell ref="D178:D179"/>
    <mergeCell ref="E178:E179"/>
    <mergeCell ref="G178:G179"/>
    <mergeCell ref="H178:H179"/>
    <mergeCell ref="I178:I179"/>
    <mergeCell ref="J169:J170"/>
    <mergeCell ref="K169:K170"/>
    <mergeCell ref="L169:L170"/>
    <mergeCell ref="M169:M170"/>
    <mergeCell ref="N169:N170"/>
    <mergeCell ref="O169:O170"/>
    <mergeCell ref="P178:P179"/>
    <mergeCell ref="Q178:Q179"/>
    <mergeCell ref="K178:K179"/>
    <mergeCell ref="L178:L179"/>
    <mergeCell ref="M178:M179"/>
    <mergeCell ref="N178:N179"/>
    <mergeCell ref="O178:O179"/>
    <mergeCell ref="A169:A170"/>
    <mergeCell ref="B169:B170"/>
    <mergeCell ref="C169:C170"/>
    <mergeCell ref="D169:D170"/>
    <mergeCell ref="E169:E170"/>
    <mergeCell ref="G169:G170"/>
    <mergeCell ref="H169:H170"/>
    <mergeCell ref="I169:I170"/>
    <mergeCell ref="J149:J168"/>
    <mergeCell ref="P144:P148"/>
    <mergeCell ref="Q144:Q148"/>
    <mergeCell ref="A149:A168"/>
    <mergeCell ref="B149:B168"/>
    <mergeCell ref="C149:C168"/>
    <mergeCell ref="D149:D168"/>
    <mergeCell ref="E149:E168"/>
    <mergeCell ref="G149:G168"/>
    <mergeCell ref="H149:H168"/>
    <mergeCell ref="I149:I168"/>
    <mergeCell ref="I144:I148"/>
    <mergeCell ref="J144:J148"/>
    <mergeCell ref="K144:K148"/>
    <mergeCell ref="L144:L148"/>
    <mergeCell ref="N144:N148"/>
    <mergeCell ref="O144:O148"/>
    <mergeCell ref="P149:P168"/>
    <mergeCell ref="Q149:Q168"/>
    <mergeCell ref="K149:K168"/>
    <mergeCell ref="L149:L168"/>
    <mergeCell ref="M149:M168"/>
    <mergeCell ref="N149:N168"/>
    <mergeCell ref="O149:O168"/>
    <mergeCell ref="A144:A148"/>
    <mergeCell ref="B144:B148"/>
    <mergeCell ref="C144:C148"/>
    <mergeCell ref="D144:D148"/>
    <mergeCell ref="E144:E148"/>
    <mergeCell ref="G144:G148"/>
    <mergeCell ref="H144:H148"/>
    <mergeCell ref="I141:I142"/>
    <mergeCell ref="J141:J142"/>
    <mergeCell ref="O139:O140"/>
    <mergeCell ref="P139:P140"/>
    <mergeCell ref="Q139:Q140"/>
    <mergeCell ref="A141:A142"/>
    <mergeCell ref="B141:B142"/>
    <mergeCell ref="C141:C142"/>
    <mergeCell ref="D141:D142"/>
    <mergeCell ref="E141:E142"/>
    <mergeCell ref="G141:G142"/>
    <mergeCell ref="H141:H142"/>
    <mergeCell ref="I139:I140"/>
    <mergeCell ref="J139:J140"/>
    <mergeCell ref="K139:K140"/>
    <mergeCell ref="L139:L140"/>
    <mergeCell ref="M139:M140"/>
    <mergeCell ref="N139:N140"/>
    <mergeCell ref="O141:O142"/>
    <mergeCell ref="P141:P142"/>
    <mergeCell ref="Q141:Q142"/>
    <mergeCell ref="K141:K142"/>
    <mergeCell ref="L141:L142"/>
    <mergeCell ref="M141:M142"/>
    <mergeCell ref="N141:N142"/>
    <mergeCell ref="A139:A140"/>
    <mergeCell ref="B139:B140"/>
    <mergeCell ref="C139:C140"/>
    <mergeCell ref="D139:D140"/>
    <mergeCell ref="E139:E140"/>
    <mergeCell ref="G139:G140"/>
    <mergeCell ref="H139:H140"/>
    <mergeCell ref="H136:H138"/>
    <mergeCell ref="I136:I138"/>
    <mergeCell ref="N134:N135"/>
    <mergeCell ref="O134:O135"/>
    <mergeCell ref="P134:P135"/>
    <mergeCell ref="Q134:Q135"/>
    <mergeCell ref="A136:A138"/>
    <mergeCell ref="B136:B138"/>
    <mergeCell ref="C136:C138"/>
    <mergeCell ref="D136:D138"/>
    <mergeCell ref="E136:E138"/>
    <mergeCell ref="G136:G138"/>
    <mergeCell ref="H134:H135"/>
    <mergeCell ref="I134:I135"/>
    <mergeCell ref="J134:J135"/>
    <mergeCell ref="K134:K135"/>
    <mergeCell ref="L134:L135"/>
    <mergeCell ref="M134:M135"/>
    <mergeCell ref="O136:O138"/>
    <mergeCell ref="P136:P138"/>
    <mergeCell ref="Q136:Q138"/>
    <mergeCell ref="J136:J138"/>
    <mergeCell ref="K136:K138"/>
    <mergeCell ref="L136:L138"/>
    <mergeCell ref="N136:N138"/>
    <mergeCell ref="A134:A135"/>
    <mergeCell ref="B134:B135"/>
    <mergeCell ref="C134:C135"/>
    <mergeCell ref="D134:D135"/>
    <mergeCell ref="E134:E135"/>
    <mergeCell ref="G134:G135"/>
    <mergeCell ref="H132:H133"/>
    <mergeCell ref="I132:I133"/>
    <mergeCell ref="J132:J133"/>
    <mergeCell ref="P130:P131"/>
    <mergeCell ref="Q130:Q131"/>
    <mergeCell ref="A132:A133"/>
    <mergeCell ref="B132:B133"/>
    <mergeCell ref="C132:C133"/>
    <mergeCell ref="D132:D133"/>
    <mergeCell ref="E132:E133"/>
    <mergeCell ref="G132:G133"/>
    <mergeCell ref="H130:H131"/>
    <mergeCell ref="I130:I131"/>
    <mergeCell ref="J130:J131"/>
    <mergeCell ref="K130:K131"/>
    <mergeCell ref="L130:L131"/>
    <mergeCell ref="M130:M131"/>
    <mergeCell ref="N132:N133"/>
    <mergeCell ref="O132:O133"/>
    <mergeCell ref="P132:P133"/>
    <mergeCell ref="Q132:Q133"/>
    <mergeCell ref="K132:K133"/>
    <mergeCell ref="L132:L133"/>
    <mergeCell ref="M132:M133"/>
    <mergeCell ref="N127:N129"/>
    <mergeCell ref="O127:O129"/>
    <mergeCell ref="P127:P129"/>
    <mergeCell ref="Q127:Q129"/>
    <mergeCell ref="A130:A131"/>
    <mergeCell ref="B130:B131"/>
    <mergeCell ref="C130:C131"/>
    <mergeCell ref="D130:D131"/>
    <mergeCell ref="E130:E131"/>
    <mergeCell ref="G130:G131"/>
    <mergeCell ref="H127:H129"/>
    <mergeCell ref="I127:I129"/>
    <mergeCell ref="J127:J129"/>
    <mergeCell ref="K127:K129"/>
    <mergeCell ref="L127:L129"/>
    <mergeCell ref="M127:M129"/>
    <mergeCell ref="A127:A129"/>
    <mergeCell ref="B127:B129"/>
    <mergeCell ref="C127:C129"/>
    <mergeCell ref="D127:D129"/>
    <mergeCell ref="E127:E129"/>
    <mergeCell ref="G127:G129"/>
    <mergeCell ref="N130:N131"/>
    <mergeCell ref="O130:O131"/>
    <mergeCell ref="K125:K126"/>
    <mergeCell ref="L125:L126"/>
    <mergeCell ref="N125:N126"/>
    <mergeCell ref="O125:O126"/>
    <mergeCell ref="P125:P126"/>
    <mergeCell ref="Q125:Q126"/>
    <mergeCell ref="Q123:Q124"/>
    <mergeCell ref="A125:A126"/>
    <mergeCell ref="B125:B126"/>
    <mergeCell ref="C125:C126"/>
    <mergeCell ref="D125:D126"/>
    <mergeCell ref="E125:E126"/>
    <mergeCell ref="G125:G126"/>
    <mergeCell ref="H125:H126"/>
    <mergeCell ref="I125:I126"/>
    <mergeCell ref="J125:J126"/>
    <mergeCell ref="J123:J124"/>
    <mergeCell ref="K123:K124"/>
    <mergeCell ref="L123:L124"/>
    <mergeCell ref="N123:N124"/>
    <mergeCell ref="O123:O124"/>
    <mergeCell ref="P123:P124"/>
    <mergeCell ref="A123:A124"/>
    <mergeCell ref="B123:B124"/>
    <mergeCell ref="C123:C124"/>
    <mergeCell ref="D123:D124"/>
    <mergeCell ref="E123:E124"/>
    <mergeCell ref="G123:G124"/>
    <mergeCell ref="H123:H124"/>
    <mergeCell ref="I123:I124"/>
    <mergeCell ref="J118:J119"/>
    <mergeCell ref="P112:P113"/>
    <mergeCell ref="Q112:Q113"/>
    <mergeCell ref="A118:A119"/>
    <mergeCell ref="B118:B119"/>
    <mergeCell ref="C118:C119"/>
    <mergeCell ref="D118:D119"/>
    <mergeCell ref="E118:E119"/>
    <mergeCell ref="G118:G119"/>
    <mergeCell ref="H118:H119"/>
    <mergeCell ref="I118:I119"/>
    <mergeCell ref="J112:J113"/>
    <mergeCell ref="K112:K113"/>
    <mergeCell ref="L112:L113"/>
    <mergeCell ref="M112:M113"/>
    <mergeCell ref="N112:N113"/>
    <mergeCell ref="O112:O113"/>
    <mergeCell ref="P118:P119"/>
    <mergeCell ref="Q118:Q119"/>
    <mergeCell ref="K118:K119"/>
    <mergeCell ref="L118:L119"/>
    <mergeCell ref="M118:M119"/>
    <mergeCell ref="N118:N119"/>
    <mergeCell ref="O118:O119"/>
    <mergeCell ref="A112:A113"/>
    <mergeCell ref="B112:B113"/>
    <mergeCell ref="C112:C113"/>
    <mergeCell ref="D112:D113"/>
    <mergeCell ref="E112:E113"/>
    <mergeCell ref="G112:G113"/>
    <mergeCell ref="H112:H113"/>
    <mergeCell ref="I112:I113"/>
    <mergeCell ref="J104:J105"/>
    <mergeCell ref="P95:P99"/>
    <mergeCell ref="Q95:Q99"/>
    <mergeCell ref="A104:A105"/>
    <mergeCell ref="B104:B105"/>
    <mergeCell ref="C104:C105"/>
    <mergeCell ref="D104:D105"/>
    <mergeCell ref="E104:E105"/>
    <mergeCell ref="G104:G105"/>
    <mergeCell ref="H104:H105"/>
    <mergeCell ref="I104:I105"/>
    <mergeCell ref="J95:J99"/>
    <mergeCell ref="K95:K99"/>
    <mergeCell ref="L95:L99"/>
    <mergeCell ref="M95:M99"/>
    <mergeCell ref="N95:N99"/>
    <mergeCell ref="O95:O99"/>
    <mergeCell ref="P104:P105"/>
    <mergeCell ref="Q104:Q105"/>
    <mergeCell ref="K104:K105"/>
    <mergeCell ref="L104:L105"/>
    <mergeCell ref="M104:M105"/>
    <mergeCell ref="N104:N105"/>
    <mergeCell ref="O104:O105"/>
    <mergeCell ref="A95:A99"/>
    <mergeCell ref="B95:B99"/>
    <mergeCell ref="C95:C99"/>
    <mergeCell ref="D95:D99"/>
    <mergeCell ref="E95:E99"/>
    <mergeCell ref="G95:G99"/>
    <mergeCell ref="H95:H99"/>
    <mergeCell ref="I95:I99"/>
    <mergeCell ref="J92:J93"/>
    <mergeCell ref="P89:P90"/>
    <mergeCell ref="Q89:Q90"/>
    <mergeCell ref="A92:A93"/>
    <mergeCell ref="B92:B93"/>
    <mergeCell ref="C92:C93"/>
    <mergeCell ref="D92:D93"/>
    <mergeCell ref="E92:E93"/>
    <mergeCell ref="G92:G93"/>
    <mergeCell ref="H92:H93"/>
    <mergeCell ref="I92:I93"/>
    <mergeCell ref="J89:J90"/>
    <mergeCell ref="K89:K90"/>
    <mergeCell ref="L89:L90"/>
    <mergeCell ref="M89:M90"/>
    <mergeCell ref="N89:N90"/>
    <mergeCell ref="O89:O90"/>
    <mergeCell ref="P92:P93"/>
    <mergeCell ref="Q92:Q93"/>
    <mergeCell ref="K92:K93"/>
    <mergeCell ref="L92:L93"/>
    <mergeCell ref="M92:M93"/>
    <mergeCell ref="N92:N93"/>
    <mergeCell ref="O92:O93"/>
    <mergeCell ref="A89:A90"/>
    <mergeCell ref="B89:B90"/>
    <mergeCell ref="C89:C90"/>
    <mergeCell ref="D89:D90"/>
    <mergeCell ref="E89:E90"/>
    <mergeCell ref="G89:G90"/>
    <mergeCell ref="H89:H90"/>
    <mergeCell ref="I89:I90"/>
    <mergeCell ref="J79:J85"/>
    <mergeCell ref="P69:P70"/>
    <mergeCell ref="Q69:Q70"/>
    <mergeCell ref="A79:A85"/>
    <mergeCell ref="B79:B85"/>
    <mergeCell ref="C79:C85"/>
    <mergeCell ref="D79:D85"/>
    <mergeCell ref="E79:E85"/>
    <mergeCell ref="G79:G85"/>
    <mergeCell ref="H79:H85"/>
    <mergeCell ref="I79:I85"/>
    <mergeCell ref="I69:I70"/>
    <mergeCell ref="J69:J70"/>
    <mergeCell ref="K69:K70"/>
    <mergeCell ref="L69:L70"/>
    <mergeCell ref="N69:N70"/>
    <mergeCell ref="O69:O70"/>
    <mergeCell ref="P79:P85"/>
    <mergeCell ref="Q79:Q85"/>
    <mergeCell ref="K79:K85"/>
    <mergeCell ref="L79:L85"/>
    <mergeCell ref="M79:M85"/>
    <mergeCell ref="N79:N85"/>
    <mergeCell ref="O79:O85"/>
    <mergeCell ref="A69:A70"/>
    <mergeCell ref="B69:B70"/>
    <mergeCell ref="C69:C70"/>
    <mergeCell ref="D69:D70"/>
    <mergeCell ref="E69:E70"/>
    <mergeCell ref="F69:F70"/>
    <mergeCell ref="G69:G70"/>
    <mergeCell ref="H69:H70"/>
    <mergeCell ref="J67:J68"/>
    <mergeCell ref="P61:P65"/>
    <mergeCell ref="Q61:Q65"/>
    <mergeCell ref="A67:A68"/>
    <mergeCell ref="B67:B68"/>
    <mergeCell ref="C67:C68"/>
    <mergeCell ref="D67:D68"/>
    <mergeCell ref="E67:E68"/>
    <mergeCell ref="G67:G68"/>
    <mergeCell ref="H67:H68"/>
    <mergeCell ref="I67:I68"/>
    <mergeCell ref="J61:J65"/>
    <mergeCell ref="K61:K65"/>
    <mergeCell ref="L61:L65"/>
    <mergeCell ref="M61:M65"/>
    <mergeCell ref="N61:N65"/>
    <mergeCell ref="O61:O65"/>
    <mergeCell ref="P67:P68"/>
    <mergeCell ref="Q67:Q68"/>
    <mergeCell ref="K67:K68"/>
    <mergeCell ref="L67:L68"/>
    <mergeCell ref="M67:M68"/>
    <mergeCell ref="N67:N68"/>
    <mergeCell ref="O67:O68"/>
    <mergeCell ref="A61:A65"/>
    <mergeCell ref="B61:B65"/>
    <mergeCell ref="C61:C65"/>
    <mergeCell ref="D61:D65"/>
    <mergeCell ref="E61:E65"/>
    <mergeCell ref="G61:G65"/>
    <mergeCell ref="H61:H65"/>
    <mergeCell ref="I61:I65"/>
    <mergeCell ref="J58:J60"/>
    <mergeCell ref="P56:P57"/>
    <mergeCell ref="Q56:Q57"/>
    <mergeCell ref="A58:A60"/>
    <mergeCell ref="B58:B60"/>
    <mergeCell ref="C58:C60"/>
    <mergeCell ref="D58:D60"/>
    <mergeCell ref="E58:E60"/>
    <mergeCell ref="G58:G60"/>
    <mergeCell ref="H58:H60"/>
    <mergeCell ref="I58:I60"/>
    <mergeCell ref="J56:J57"/>
    <mergeCell ref="K56:K57"/>
    <mergeCell ref="L56:L57"/>
    <mergeCell ref="M56:M57"/>
    <mergeCell ref="N56:N57"/>
    <mergeCell ref="O56:O57"/>
    <mergeCell ref="P58:P60"/>
    <mergeCell ref="Q58:Q60"/>
    <mergeCell ref="K58:K60"/>
    <mergeCell ref="L58:L60"/>
    <mergeCell ref="M58:M60"/>
    <mergeCell ref="N58:N60"/>
    <mergeCell ref="O58:O60"/>
    <mergeCell ref="A56:A57"/>
    <mergeCell ref="B56:B57"/>
    <mergeCell ref="C56:C57"/>
    <mergeCell ref="D56:D57"/>
    <mergeCell ref="E56:E57"/>
    <mergeCell ref="G56:G57"/>
    <mergeCell ref="H56:H57"/>
    <mergeCell ref="I56:I57"/>
    <mergeCell ref="J54:J55"/>
    <mergeCell ref="P51:P53"/>
    <mergeCell ref="Q51:Q53"/>
    <mergeCell ref="A54:A55"/>
    <mergeCell ref="B54:B55"/>
    <mergeCell ref="C54:C55"/>
    <mergeCell ref="D54:D55"/>
    <mergeCell ref="E54:E55"/>
    <mergeCell ref="G54:G55"/>
    <mergeCell ref="H54:H55"/>
    <mergeCell ref="I54:I55"/>
    <mergeCell ref="I51:I53"/>
    <mergeCell ref="J51:J53"/>
    <mergeCell ref="K51:K53"/>
    <mergeCell ref="L51:L53"/>
    <mergeCell ref="N51:N53"/>
    <mergeCell ref="O51:O53"/>
    <mergeCell ref="P54:P55"/>
    <mergeCell ref="Q54:Q55"/>
    <mergeCell ref="K54:K55"/>
    <mergeCell ref="L54:L55"/>
    <mergeCell ref="M54:M55"/>
    <mergeCell ref="N54:N55"/>
    <mergeCell ref="O54:O55"/>
    <mergeCell ref="A51:A53"/>
    <mergeCell ref="C51:C53"/>
    <mergeCell ref="D51:D53"/>
    <mergeCell ref="E51:E53"/>
    <mergeCell ref="F51:F53"/>
    <mergeCell ref="G51:G53"/>
    <mergeCell ref="H51:H53"/>
    <mergeCell ref="I47:I48"/>
    <mergeCell ref="J47:J48"/>
    <mergeCell ref="N44:N45"/>
    <mergeCell ref="O44:O45"/>
    <mergeCell ref="P44:P45"/>
    <mergeCell ref="Q44:Q45"/>
    <mergeCell ref="A47:A48"/>
    <mergeCell ref="C47:C48"/>
    <mergeCell ref="D47:D48"/>
    <mergeCell ref="E47:E48"/>
    <mergeCell ref="G47:G48"/>
    <mergeCell ref="H47:H48"/>
    <mergeCell ref="H44:H45"/>
    <mergeCell ref="I44:I45"/>
    <mergeCell ref="J44:J45"/>
    <mergeCell ref="K44:K45"/>
    <mergeCell ref="L44:L45"/>
    <mergeCell ref="M44:M45"/>
    <mergeCell ref="O47:O48"/>
    <mergeCell ref="P47:P48"/>
    <mergeCell ref="Q47:Q48"/>
    <mergeCell ref="K47:K48"/>
    <mergeCell ref="L47:L48"/>
    <mergeCell ref="M47:M48"/>
    <mergeCell ref="N47:N48"/>
    <mergeCell ref="A44:A45"/>
    <mergeCell ref="B44:B45"/>
    <mergeCell ref="C44:C45"/>
    <mergeCell ref="D44:D45"/>
    <mergeCell ref="E44:E45"/>
    <mergeCell ref="G44:G45"/>
    <mergeCell ref="H38:H39"/>
    <mergeCell ref="I38:I39"/>
    <mergeCell ref="J38:J39"/>
    <mergeCell ref="N25:N26"/>
    <mergeCell ref="O25:O26"/>
    <mergeCell ref="P25:P26"/>
    <mergeCell ref="Q25:Q26"/>
    <mergeCell ref="A38:A39"/>
    <mergeCell ref="C38:C39"/>
    <mergeCell ref="D38:D39"/>
    <mergeCell ref="E38:E39"/>
    <mergeCell ref="F38:F39"/>
    <mergeCell ref="G38:G39"/>
    <mergeCell ref="H25:H26"/>
    <mergeCell ref="I25:I26"/>
    <mergeCell ref="J25:J26"/>
    <mergeCell ref="K25:K26"/>
    <mergeCell ref="L25:L26"/>
    <mergeCell ref="M25:M26"/>
    <mergeCell ref="N38:N39"/>
    <mergeCell ref="O38:O39"/>
    <mergeCell ref="P38:P39"/>
    <mergeCell ref="Q38:Q39"/>
    <mergeCell ref="K38:K39"/>
    <mergeCell ref="L38:L39"/>
    <mergeCell ref="M38:M39"/>
    <mergeCell ref="A25:A26"/>
    <mergeCell ref="B25:B26"/>
    <mergeCell ref="C25:C26"/>
    <mergeCell ref="D25:D26"/>
    <mergeCell ref="E25:E26"/>
    <mergeCell ref="G25:G26"/>
    <mergeCell ref="H18:H20"/>
    <mergeCell ref="I18:I20"/>
    <mergeCell ref="J18:J20"/>
    <mergeCell ref="P15:P17"/>
    <mergeCell ref="Q15:Q17"/>
    <mergeCell ref="A18:A20"/>
    <mergeCell ref="B18:B20"/>
    <mergeCell ref="C18:C20"/>
    <mergeCell ref="D18:D20"/>
    <mergeCell ref="E18:E20"/>
    <mergeCell ref="G18:G20"/>
    <mergeCell ref="H15:H17"/>
    <mergeCell ref="I15:I17"/>
    <mergeCell ref="J15:J17"/>
    <mergeCell ref="K15:K17"/>
    <mergeCell ref="L15:L17"/>
    <mergeCell ref="M15:M17"/>
    <mergeCell ref="N18:N20"/>
    <mergeCell ref="O18:O20"/>
    <mergeCell ref="P18:P20"/>
    <mergeCell ref="Q18:Q20"/>
    <mergeCell ref="K18:K20"/>
    <mergeCell ref="L18:L20"/>
    <mergeCell ref="M18:M20"/>
    <mergeCell ref="N3:N4"/>
    <mergeCell ref="O3:O4"/>
    <mergeCell ref="P3:P4"/>
    <mergeCell ref="Q3:Q4"/>
    <mergeCell ref="A15:A17"/>
    <mergeCell ref="B15:B17"/>
    <mergeCell ref="C15:C17"/>
    <mergeCell ref="D15:D17"/>
    <mergeCell ref="E15:E17"/>
    <mergeCell ref="G15:G17"/>
    <mergeCell ref="H3:H4"/>
    <mergeCell ref="I3:I4"/>
    <mergeCell ref="J3:J4"/>
    <mergeCell ref="K3:K4"/>
    <mergeCell ref="L3:L4"/>
    <mergeCell ref="M3:M4"/>
    <mergeCell ref="A3:A4"/>
    <mergeCell ref="B3:B4"/>
    <mergeCell ref="C3:C4"/>
    <mergeCell ref="D3:D4"/>
    <mergeCell ref="E3:E4"/>
    <mergeCell ref="G3:G4"/>
    <mergeCell ref="N15:N17"/>
    <mergeCell ref="O15:O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C08A-A31C-4F9B-B617-48BF1CA8CA93}">
  <dimension ref="A1:C5"/>
  <sheetViews>
    <sheetView workbookViewId="0">
      <selection activeCell="B5" sqref="B5"/>
    </sheetView>
  </sheetViews>
  <sheetFormatPr defaultRowHeight="14.25" x14ac:dyDescent="0.45"/>
  <cols>
    <col min="1" max="1" width="17.53125" style="41" customWidth="1"/>
    <col min="2" max="2" width="54.53125" style="9" customWidth="1"/>
    <col min="3" max="3" width="13.3984375" style="4" customWidth="1"/>
  </cols>
  <sheetData>
    <row r="1" spans="1:3" x14ac:dyDescent="0.45">
      <c r="A1" s="58" t="s">
        <v>450</v>
      </c>
      <c r="B1" s="59" t="s">
        <v>452</v>
      </c>
      <c r="C1" s="60" t="s">
        <v>463</v>
      </c>
    </row>
    <row r="2" spans="1:3" ht="57" x14ac:dyDescent="0.45">
      <c r="A2" s="58" t="s">
        <v>451</v>
      </c>
      <c r="B2" s="59" t="s">
        <v>455</v>
      </c>
      <c r="C2" s="61">
        <f>COUNTIF(wiki!R:R,classifications!A2)</f>
        <v>7</v>
      </c>
    </row>
    <row r="3" spans="1:3" ht="71.25" x14ac:dyDescent="0.45">
      <c r="A3" s="58" t="s">
        <v>453</v>
      </c>
      <c r="B3" s="59" t="s">
        <v>456</v>
      </c>
      <c r="C3" s="61">
        <f>COUNTIF(wiki!R:R,classifications!A3)</f>
        <v>5</v>
      </c>
    </row>
    <row r="4" spans="1:3" ht="85.5" x14ac:dyDescent="0.45">
      <c r="A4" s="58" t="s">
        <v>35</v>
      </c>
      <c r="B4" s="59" t="s">
        <v>457</v>
      </c>
      <c r="C4" s="61">
        <f>COUNTIF(wiki!R:R,classifications!A4)</f>
        <v>25</v>
      </c>
    </row>
    <row r="5" spans="1:3" ht="85.5" x14ac:dyDescent="0.45">
      <c r="A5" s="58" t="s">
        <v>454</v>
      </c>
      <c r="B5" s="59" t="s">
        <v>468</v>
      </c>
      <c r="C5" s="61">
        <f>COUNTIF(wiki!R:R,classifications!A5)</f>
        <v>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4EE3-76B7-4E64-A64A-1D83C50BD3E7}">
  <dimension ref="A1:C15"/>
  <sheetViews>
    <sheetView workbookViewId="0">
      <selection activeCell="F17" sqref="F17"/>
    </sheetView>
  </sheetViews>
  <sheetFormatPr defaultRowHeight="14.25" x14ac:dyDescent="0.45"/>
  <cols>
    <col min="1" max="1" width="23.33203125" customWidth="1"/>
    <col min="2" max="2" width="18.06640625" customWidth="1"/>
    <col min="3" max="3" width="13.1328125" customWidth="1"/>
  </cols>
  <sheetData>
    <row r="1" spans="1:3" x14ac:dyDescent="0.45">
      <c r="A1" s="61" t="s">
        <v>450</v>
      </c>
      <c r="B1" s="64" t="s">
        <v>464</v>
      </c>
      <c r="C1" s="61" t="s">
        <v>463</v>
      </c>
    </row>
    <row r="2" spans="1:3" x14ac:dyDescent="0.45">
      <c r="A2" s="86" t="s">
        <v>451</v>
      </c>
      <c r="B2" s="62" t="s">
        <v>63</v>
      </c>
      <c r="C2" s="60">
        <v>2</v>
      </c>
    </row>
    <row r="3" spans="1:3" x14ac:dyDescent="0.45">
      <c r="A3" s="87"/>
      <c r="B3" s="62" t="s">
        <v>48</v>
      </c>
      <c r="C3" s="60">
        <v>2</v>
      </c>
    </row>
    <row r="4" spans="1:3" x14ac:dyDescent="0.45">
      <c r="A4" s="88"/>
      <c r="B4" s="62" t="s">
        <v>102</v>
      </c>
      <c r="C4" s="60">
        <v>2</v>
      </c>
    </row>
    <row r="5" spans="1:3" x14ac:dyDescent="0.45">
      <c r="A5" s="86" t="s">
        <v>453</v>
      </c>
      <c r="B5" s="62" t="s">
        <v>63</v>
      </c>
      <c r="C5" s="60">
        <v>1</v>
      </c>
    </row>
    <row r="6" spans="1:3" x14ac:dyDescent="0.45">
      <c r="A6" s="87"/>
      <c r="B6" s="62" t="s">
        <v>48</v>
      </c>
      <c r="C6" s="60">
        <v>3</v>
      </c>
    </row>
    <row r="7" spans="1:3" x14ac:dyDescent="0.45">
      <c r="A7" s="88"/>
      <c r="B7" s="62" t="s">
        <v>102</v>
      </c>
      <c r="C7" s="60">
        <v>1</v>
      </c>
    </row>
    <row r="8" spans="1:3" x14ac:dyDescent="0.45">
      <c r="A8" s="86" t="s">
        <v>35</v>
      </c>
      <c r="B8" s="62" t="s">
        <v>63</v>
      </c>
      <c r="C8" s="60">
        <v>5</v>
      </c>
    </row>
    <row r="9" spans="1:3" x14ac:dyDescent="0.45">
      <c r="A9" s="87"/>
      <c r="B9" s="62" t="s">
        <v>48</v>
      </c>
      <c r="C9" s="60">
        <v>11</v>
      </c>
    </row>
    <row r="10" spans="1:3" x14ac:dyDescent="0.45">
      <c r="A10" s="88"/>
      <c r="B10" s="62" t="s">
        <v>102</v>
      </c>
      <c r="C10" s="60">
        <v>9</v>
      </c>
    </row>
    <row r="11" spans="1:3" x14ac:dyDescent="0.45">
      <c r="A11" s="86" t="s">
        <v>454</v>
      </c>
      <c r="B11" s="62" t="s">
        <v>63</v>
      </c>
      <c r="C11" s="60">
        <v>0</v>
      </c>
    </row>
    <row r="12" spans="1:3" x14ac:dyDescent="0.45">
      <c r="A12" s="87"/>
      <c r="B12" s="62" t="s">
        <v>48</v>
      </c>
      <c r="C12" s="60">
        <v>1</v>
      </c>
    </row>
    <row r="13" spans="1:3" x14ac:dyDescent="0.45">
      <c r="A13" s="88"/>
      <c r="B13" s="62" t="s">
        <v>102</v>
      </c>
      <c r="C13" s="60">
        <v>2</v>
      </c>
    </row>
    <row r="14" spans="1:3" ht="14.65" thickBot="1" x14ac:dyDescent="0.5">
      <c r="C14" s="63">
        <f>SUM(C2:C13)</f>
        <v>39</v>
      </c>
    </row>
    <row r="15" spans="1:3" ht="14.65" thickTop="1" x14ac:dyDescent="0.45"/>
  </sheetData>
  <mergeCells count="4">
    <mergeCell ref="A11:A13"/>
    <mergeCell ref="A8:A10"/>
    <mergeCell ref="A5:A7"/>
    <mergeCell ref="A2: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61B4-78AA-4E70-A0C4-2B1132170A80}">
  <sheetPr filterMode="1">
    <tabColor rgb="FF00B050"/>
  </sheetPr>
  <dimension ref="A1:T148"/>
  <sheetViews>
    <sheetView tabSelected="1" zoomScale="85" zoomScaleNormal="85" workbookViewId="0">
      <pane ySplit="1" topLeftCell="A2" activePane="bottomLeft" state="frozen"/>
      <selection activeCell="F1" sqref="F1"/>
      <selection pane="bottomLeft" activeCell="F3" sqref="F3"/>
    </sheetView>
  </sheetViews>
  <sheetFormatPr defaultRowHeight="14.25" outlineLevelCol="1" x14ac:dyDescent="0.45"/>
  <cols>
    <col min="1" max="1" width="5.9296875" style="13" customWidth="1"/>
    <col min="2" max="2" width="23.1328125" customWidth="1"/>
    <col min="3" max="3" width="12.46484375" hidden="1" customWidth="1" outlineLevel="1"/>
    <col min="4" max="4" width="10.6640625" hidden="1" customWidth="1" outlineLevel="1"/>
    <col min="5" max="5" width="17.06640625" hidden="1" customWidth="1" outlineLevel="1"/>
    <col min="6" max="6" width="58.06640625" customWidth="1" collapsed="1"/>
    <col min="7" max="7" width="14.19921875" customWidth="1"/>
    <col min="8" max="8" width="12.46484375" customWidth="1"/>
    <col min="9" max="9" width="17.796875" hidden="1" customWidth="1" outlineLevel="1"/>
    <col min="10" max="10" width="19.53125" hidden="1" customWidth="1" outlineLevel="1"/>
    <col min="11" max="11" width="17.796875" hidden="1" customWidth="1" outlineLevel="1"/>
    <col min="12" max="12" width="14.19921875" hidden="1" customWidth="1" outlineLevel="1"/>
    <col min="13" max="13" width="39.1328125" hidden="1" customWidth="1" outlineLevel="1"/>
    <col min="14" max="14" width="19.53125" hidden="1" customWidth="1" outlineLevel="1"/>
    <col min="15" max="15" width="26.6640625" hidden="1" customWidth="1" outlineLevel="1"/>
    <col min="16" max="16" width="23.1328125" hidden="1" customWidth="1" outlineLevel="1"/>
    <col min="17" max="17" width="16" hidden="1" customWidth="1" outlineLevel="1"/>
    <col min="18" max="18" width="21.33203125" customWidth="1" collapsed="1"/>
    <col min="19" max="19" width="19.53125" customWidth="1"/>
    <col min="20" max="20" width="14.265625" customWidth="1" outlineLevel="1"/>
  </cols>
  <sheetData>
    <row r="1" spans="1:20" ht="57" x14ac:dyDescent="0.45">
      <c r="A1" s="56" t="s">
        <v>0</v>
      </c>
      <c r="B1" s="53" t="s">
        <v>1</v>
      </c>
      <c r="C1" s="53" t="s">
        <v>2</v>
      </c>
      <c r="D1" s="53" t="s">
        <v>3</v>
      </c>
      <c r="E1" s="53" t="s">
        <v>4</v>
      </c>
      <c r="F1" s="53" t="s">
        <v>458</v>
      </c>
      <c r="G1" s="53" t="s">
        <v>6</v>
      </c>
      <c r="H1" s="53" t="s">
        <v>7</v>
      </c>
      <c r="I1" s="53" t="s">
        <v>459</v>
      </c>
      <c r="J1" s="53" t="s">
        <v>9</v>
      </c>
      <c r="K1" s="53" t="s">
        <v>10</v>
      </c>
      <c r="L1" s="53" t="s">
        <v>11</v>
      </c>
      <c r="M1" s="53" t="s">
        <v>460</v>
      </c>
      <c r="N1" s="53" t="s">
        <v>13</v>
      </c>
      <c r="O1" s="53" t="s">
        <v>461</v>
      </c>
      <c r="P1" s="53" t="s">
        <v>15</v>
      </c>
      <c r="Q1" s="53" t="s">
        <v>16</v>
      </c>
      <c r="R1" s="53" t="s">
        <v>450</v>
      </c>
      <c r="S1" s="53" t="s">
        <v>462</v>
      </c>
      <c r="T1" s="53" t="s">
        <v>464</v>
      </c>
    </row>
    <row r="2" spans="1:20" ht="57" x14ac:dyDescent="0.45">
      <c r="A2" s="57">
        <f>raw!A54</f>
        <v>42</v>
      </c>
      <c r="B2" s="54" t="str">
        <f>raw!B54</f>
        <v>Planner -&gt; Streamer -&gt;  Active Steamers</v>
      </c>
      <c r="C2" s="54" t="str">
        <f>raw!C54</f>
        <v>System</v>
      </c>
      <c r="D2" s="54" t="str">
        <f>raw!D54</f>
        <v>Must</v>
      </c>
      <c r="E2" s="54" t="str">
        <f>raw!E54</f>
        <v>Rework</v>
      </c>
      <c r="F2" s="54" t="str">
        <f>_xlfn.TEXTJOIN(CHAR(10),TRUE,raw!F54:F55)</f>
        <v>Cost / DIW covers Tasks 1 to 15 only. As the inspection date is 07 Mar 2026,
please confirm that the end date should be 07 Mar 2026 rather than 01 Apr 2026.</v>
      </c>
      <c r="G2" s="55">
        <f>raw!G54</f>
        <v>46100</v>
      </c>
      <c r="H2" s="54" t="str">
        <f>raw!H54</f>
        <v>Ricky</v>
      </c>
      <c r="I2" s="54" t="str">
        <f>raw!I54</f>
        <v>Refer to Screen Capture</v>
      </c>
      <c r="J2" s="54">
        <f>raw!J54</f>
        <v>0</v>
      </c>
      <c r="K2" s="54">
        <f>raw!K54</f>
        <v>0</v>
      </c>
      <c r="L2" s="54">
        <f>raw!L54</f>
        <v>0</v>
      </c>
      <c r="M2" s="54" t="str">
        <f>_xlfn.TEXTJOIN(CHAR(10),TRUE,raw!M54:M55)</f>
        <v/>
      </c>
      <c r="N2" s="54">
        <f>raw!N54</f>
        <v>0</v>
      </c>
      <c r="O2" s="54" t="str">
        <f>_xlfn.TEXTJOIN(CHAR(10),TRUE,raw!O54:O55)</f>
        <v>Removed</v>
      </c>
      <c r="P2" s="54">
        <f>raw!P54</f>
        <v>0</v>
      </c>
      <c r="Q2" s="54" t="str">
        <f>raw!Q54</f>
        <v>Closed</v>
      </c>
      <c r="R2" s="54" t="str" cm="1">
        <f t="array" ref="R2">_xlfn.LET(_xlpm.txt,LOWER(B2&amp;" "&amp;C2&amp;" "&amp;F2&amp;" "&amp;M2&amp;" "&amp;O2),_xlfn.IFS(OR(IFERROR(SEARCH("diw",_xlpm.txt),0)&gt;0,IFERROR(SEARCH("cost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DIW/Cost Review</v>
      </c>
      <c r="S2" s="54" t="str" cm="1">
        <f t="array" ref="S2">_xlfn.LET(_xlpm.txt,LOWER(B2&amp;" "&amp;C2&amp;" "&amp;F2&amp;" "&amp;M2&amp;" "&amp;O2),_xlfn.IFS(IFERROR(SEARCH("diw",_xlpm.txt),0)&gt;0,"diw",IFERROR(SEARCH("cost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diw</v>
      </c>
      <c r="T2" s="89" t="s">
        <v>59</v>
      </c>
    </row>
    <row r="3" spans="1:20" ht="42.75" x14ac:dyDescent="0.45">
      <c r="A3" s="57">
        <f>raw!A116</f>
        <v>80</v>
      </c>
      <c r="B3" s="54" t="str">
        <f>raw!B116</f>
        <v xml:space="preserve">Streamer </v>
      </c>
      <c r="C3" s="54" t="str">
        <f>raw!C116</f>
        <v>System</v>
      </c>
      <c r="D3" s="54" t="str">
        <f>raw!D116</f>
        <v>Must</v>
      </c>
      <c r="E3" s="54" t="str">
        <f>raw!E116</f>
        <v>Bug</v>
      </c>
      <c r="F3" s="54" t="str">
        <f>raw!F116</f>
        <v>F08. “Edit Streamer” button FAIL, when reload a template, all previous template COMPLETED tasks data should be fill in to the NEW template</v>
      </c>
      <c r="G3" s="55">
        <f>raw!G116</f>
        <v>46114</v>
      </c>
      <c r="H3" s="54" t="str">
        <f>raw!H116</f>
        <v>Praveen on Ray's Behalf</v>
      </c>
      <c r="I3" s="54">
        <f>raw!I116</f>
        <v>0</v>
      </c>
      <c r="J3" s="54" t="str">
        <f>raw!J116</f>
        <v>Bug</v>
      </c>
      <c r="K3" s="54">
        <f>raw!K116</f>
        <v>0</v>
      </c>
      <c r="L3" s="54">
        <f>raw!L116</f>
        <v>0</v>
      </c>
      <c r="M3" s="54" t="str">
        <f>raw!M116</f>
        <v>Re-induction will only contain tasks from newly selected template, all old tasks will be part of previous issue</v>
      </c>
      <c r="N3" s="54">
        <f>raw!N116</f>
        <v>0</v>
      </c>
      <c r="O3" s="54" t="str">
        <f>raw!O116</f>
        <v>High</v>
      </c>
      <c r="P3" s="54">
        <f>raw!P116</f>
        <v>0</v>
      </c>
      <c r="Q3" s="54">
        <f>raw!Q116</f>
        <v>0</v>
      </c>
      <c r="R3" s="54" t="str" cm="1">
        <f t="array" ref="R3">_xlfn.LET(_xlpm.txt,LOWER(B3&amp;" "&amp;C3&amp;" "&amp;F3&amp;" "&amp;M3&amp;" "&amp;O3),_xlfn.IFS(OR(IFERROR(SEARCH("diw",_xlpm.txt),0)&gt;0,IFERROR(SEARCH("cost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DIW/Cost Review</v>
      </c>
      <c r="S3" s="54" t="str" cm="1">
        <f t="array" ref="S3">_xlfn.LET(_xlpm.txt,LOWER(B3&amp;" "&amp;C3&amp;" "&amp;F3&amp;" "&amp;M3&amp;" "&amp;O3),_xlfn.IFS(IFERROR(SEARCH("diw",_xlpm.txt),0)&gt;0,"diw",IFERROR(SEARCH("cost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re-induction</v>
      </c>
      <c r="T3" s="54" t="s">
        <v>102</v>
      </c>
    </row>
    <row r="4" spans="1:20" ht="28.5" x14ac:dyDescent="0.45">
      <c r="A4" s="57">
        <f>raw!A196</f>
        <v>120</v>
      </c>
      <c r="B4" s="54" t="str">
        <f>raw!B196</f>
        <v>re-induction</v>
      </c>
      <c r="C4" s="54" t="str">
        <f>raw!C196</f>
        <v>System</v>
      </c>
      <c r="D4" s="54" t="str">
        <f>raw!D196</f>
        <v>Must</v>
      </c>
      <c r="E4" s="54" t="str">
        <f>raw!E196</f>
        <v>Rework</v>
      </c>
      <c r="F4" s="54" t="str">
        <f>raw!F196</f>
        <v>DIW and cost review streamer can be re-induction day back day within 7 day</v>
      </c>
      <c r="G4" s="55">
        <f>raw!G196</f>
        <v>46126</v>
      </c>
      <c r="H4" s="54" t="str">
        <f>raw!H196</f>
        <v>Ray</v>
      </c>
      <c r="I4" s="54" t="str">
        <f>raw!I196</f>
        <v>N/A</v>
      </c>
      <c r="J4" s="54">
        <f>raw!J196</f>
        <v>0</v>
      </c>
      <c r="K4" s="54">
        <f>raw!K196</f>
        <v>0</v>
      </c>
      <c r="L4" s="54">
        <f>raw!L196</f>
        <v>0</v>
      </c>
      <c r="M4" s="54">
        <f>raw!M196</f>
        <v>0</v>
      </c>
      <c r="N4" s="54">
        <f>raw!N196</f>
        <v>0</v>
      </c>
      <c r="O4" s="54" t="str">
        <f>raw!O196</f>
        <v>Medium, bug</v>
      </c>
      <c r="P4" s="54">
        <f>raw!P196</f>
        <v>0</v>
      </c>
      <c r="Q4" s="54">
        <f>raw!Q196</f>
        <v>0</v>
      </c>
      <c r="R4" s="54" t="str" cm="1">
        <f t="array" ref="R4">_xlfn.LET(_xlpm.txt,LOWER(B4&amp;" "&amp;C4&amp;" "&amp;F4&amp;" "&amp;M4&amp;" "&amp;O4),_xlfn.IFS(OR(IFERROR(SEARCH("diw",_xlpm.txt),0)&gt;0,IFERROR(SEARCH("cost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DIW/Cost Review</v>
      </c>
      <c r="S4" s="54" t="str" cm="1">
        <f t="array" ref="S4">_xlfn.LET(_xlpm.txt,LOWER(B4&amp;" "&amp;C4&amp;" "&amp;F4&amp;" "&amp;M4&amp;" "&amp;O4),_xlfn.IFS(IFERROR(SEARCH("diw",_xlpm.txt),0)&gt;0,"diw",IFERROR(SEARCH("cost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diw</v>
      </c>
      <c r="T4" s="54" t="s">
        <v>48</v>
      </c>
    </row>
    <row r="5" spans="1:20" ht="114" x14ac:dyDescent="0.45">
      <c r="A5" s="57">
        <f>raw!A212</f>
        <v>132</v>
      </c>
      <c r="B5" s="54" t="str">
        <f>raw!B212</f>
        <v>DIW,cost review streamer</v>
      </c>
      <c r="C5" s="54" t="str">
        <f>raw!C212</f>
        <v>System</v>
      </c>
      <c r="D5" s="54" t="str">
        <f>raw!D212</f>
        <v>Must</v>
      </c>
      <c r="E5" s="54" t="str">
        <f>raw!E212</f>
        <v>Bug</v>
      </c>
      <c r="F5" s="54" t="str">
        <f>_xlfn.TEXTJOIN(CHAR(10),TRUE,raw!F212:F214)</f>
        <v>1. DIW completed and released, streamer  then change to Cost Review  and will need  to capture second release date for Cost Review.
2. The DIW streamer cannot be converted to a normal streamer as non-DIW tasks are still locked (Grey Color).
3. The Cost Review streamer cannot be converted to a normal streamer as non-Cost Review  tasks are still locked (Grey Color). Also the Cost Review Task data such as Finish Date, PCD &amp; ACD should not be changed (Same as Cost Review Streamer) except for Task 4 Inducton</v>
      </c>
      <c r="G5" s="55">
        <f>raw!G212</f>
        <v>46128</v>
      </c>
      <c r="H5" s="54" t="str">
        <f>raw!H212</f>
        <v>Ricky</v>
      </c>
      <c r="I5" s="54">
        <f>raw!I212</f>
        <v>0</v>
      </c>
      <c r="J5" s="54">
        <f>raw!J212</f>
        <v>0</v>
      </c>
      <c r="K5" s="54">
        <f>raw!K212</f>
        <v>0</v>
      </c>
      <c r="L5" s="54">
        <f>raw!L212</f>
        <v>0</v>
      </c>
      <c r="M5" s="54" t="str">
        <f>_xlfn.TEXTJOIN(CHAR(10),TRUE,raw!M212:M214)</f>
        <v/>
      </c>
      <c r="N5" s="54">
        <f>raw!N212</f>
        <v>0</v>
      </c>
      <c r="O5" s="54" t="str">
        <f>_xlfn.TEXTJOIN(CHAR(10),TRUE,raw!O212:O214)</f>
        <v>High</v>
      </c>
      <c r="P5" s="54">
        <f>raw!P212</f>
        <v>0</v>
      </c>
      <c r="Q5" s="54">
        <f>raw!Q212</f>
        <v>0</v>
      </c>
      <c r="R5" s="54" t="str" cm="1">
        <f t="array" ref="R5">_xlfn.LET(_xlpm.txt,LOWER(B5&amp;" "&amp;C5&amp;" "&amp;F5&amp;" "&amp;M5&amp;" "&amp;O5),_xlfn.IFS(OR(IFERROR(SEARCH("diw",_xlpm.txt),0)&gt;0,IFERROR(SEARCH("cost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DIW/Cost Review</v>
      </c>
      <c r="S5" s="54" t="str" cm="1">
        <f t="array" ref="S5">_xlfn.LET(_xlpm.txt,LOWER(B5&amp;" "&amp;C5&amp;" "&amp;F5&amp;" "&amp;M5&amp;" "&amp;O5),_xlfn.IFS(IFERROR(SEARCH("diw",_xlpm.txt),0)&gt;0,"diw",IFERROR(SEARCH("cost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diw</v>
      </c>
      <c r="T5" s="54" t="s">
        <v>102</v>
      </c>
    </row>
    <row r="6" spans="1:20" ht="42.75" hidden="1" x14ac:dyDescent="0.45">
      <c r="A6" s="54">
        <f>raw!A6</f>
        <v>4</v>
      </c>
      <c r="B6" s="54" t="str">
        <f>raw!B6</f>
        <v>Notification</v>
      </c>
      <c r="C6" s="54" t="str">
        <f>raw!C6</f>
        <v>System</v>
      </c>
      <c r="D6" s="54" t="str">
        <f>raw!D6</f>
        <v>Must</v>
      </c>
      <c r="E6" s="54" t="str">
        <f>raw!E6</f>
        <v>Bug</v>
      </c>
      <c r="F6" s="54" t="str">
        <f>raw!F6</f>
        <v>Unable to clear notifcations from notifcation list. After clicking the "X", the same notifcation will pop up again later, all the notifications become accumulate as a huge list.</v>
      </c>
      <c r="G6" s="55">
        <f>raw!G6</f>
        <v>46097</v>
      </c>
      <c r="H6" s="54" t="str">
        <f>raw!H6</f>
        <v>Ray</v>
      </c>
      <c r="I6" s="54" t="str">
        <f>raw!I6</f>
        <v>Refer to Screen Capture</v>
      </c>
      <c r="J6" s="54" t="str">
        <f>raw!J6</f>
        <v>None</v>
      </c>
      <c r="K6" s="54">
        <f>raw!K6</f>
        <v>0</v>
      </c>
      <c r="L6" s="54">
        <f>raw!L6</f>
        <v>0</v>
      </c>
      <c r="M6" s="54" t="str">
        <f>raw!M6</f>
        <v>Not able to reproduce in dev</v>
      </c>
      <c r="N6" s="54">
        <f>raw!N6</f>
        <v>0</v>
      </c>
      <c r="O6" s="54" t="str">
        <f>raw!O6</f>
        <v>Low, but the counter of msg delayed</v>
      </c>
      <c r="P6" s="54">
        <f>raw!P6</f>
        <v>0</v>
      </c>
      <c r="Q6" s="54" t="str">
        <f>raw!Q6</f>
        <v>Fixed</v>
      </c>
      <c r="R6" s="54" t="str" cm="1">
        <f t="array" ref="R6">_xlfn.LET(_xlpm.txt,LOWER(B6&amp;" "&amp;C6&amp;" "&amp;F6&amp;" "&amp;M6&amp;" "&amp;O6),_xlfn.IFS(OR(IFERROR(SEARCH("diw",_xlpm.txt),0)&gt;0,IFERROR(SEARCH("cost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6" s="54" t="str" cm="1">
        <f t="array" ref="S6">_xlfn.LET(_xlpm.txt,LOWER(B6&amp;" "&amp;C6&amp;" "&amp;F6&amp;" "&amp;M6&amp;" "&amp;O6),_xlfn.IFS(IFERROR(SEARCH("diw",_xlpm.txt),0)&gt;0,"diw",IFERROR(SEARCH("cost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6" s="54" t="s">
        <v>63</v>
      </c>
    </row>
    <row r="7" spans="1:20" ht="57" hidden="1" x14ac:dyDescent="0.45">
      <c r="A7" s="54">
        <f>raw!A15</f>
        <v>13</v>
      </c>
      <c r="B7" s="54" t="str">
        <f>raw!B15</f>
        <v>Planner - Tasks</v>
      </c>
      <c r="C7" s="54" t="str">
        <f>raw!C15</f>
        <v>System</v>
      </c>
      <c r="D7" s="54" t="str">
        <f>raw!D15</f>
        <v>Must</v>
      </c>
      <c r="E7" s="54" t="str">
        <f>raw!E15</f>
        <v>Bug</v>
      </c>
      <c r="F7" s="54" t="str">
        <f>_xlfn.TEXTJOIN(CHAR(10),TRUE,raw!F15:F17)</f>
        <v>Update Task 4 Finish Date:
1. 41500 was created on 17 Mar 2026, and Task 4 actual completion date is 17 Mar 2026; however, it is currently showing as 16 Mar 2026.
2. Unable to select “Cancel for Approval.”</v>
      </c>
      <c r="G7" s="55">
        <f>raw!G15</f>
        <v>46097</v>
      </c>
      <c r="H7" s="54" t="str">
        <f>raw!H15</f>
        <v>Ricky</v>
      </c>
      <c r="I7" s="54" t="str">
        <f>raw!I15</f>
        <v>Refer to Screen Capture</v>
      </c>
      <c r="J7" s="54" t="str">
        <f>raw!J15</f>
        <v>None</v>
      </c>
      <c r="K7" s="54">
        <f>raw!K15</f>
        <v>0</v>
      </c>
      <c r="L7" s="54">
        <f>raw!L15</f>
        <v>0</v>
      </c>
      <c r="M7" s="54" t="str">
        <f>_xlfn.TEXTJOIN(CHAR(10),TRUE,raw!M15:M17)</f>
        <v>Dev to reproduce issue</v>
      </c>
      <c r="N7" s="54">
        <f>raw!N15</f>
        <v>0</v>
      </c>
      <c r="O7" s="54" t="str">
        <f>_xlfn.TEXTJOIN(CHAR(10),TRUE,raw!O15:O17)</f>
        <v>Low, fixed</v>
      </c>
      <c r="P7" s="54">
        <f>raw!P15</f>
        <v>0</v>
      </c>
      <c r="Q7" s="54" t="str">
        <f>raw!Q15</f>
        <v>Fixed</v>
      </c>
      <c r="R7" s="54" t="str" cm="1">
        <f t="array" ref="R7">_xlfn.LET(_xlpm.txt,LOWER(B7&amp;" "&amp;C7&amp;" "&amp;F7&amp;" "&amp;M7&amp;" "&amp;O7),_xlfn.IFS(OR(IFERROR(SEARCH("diw",_xlpm.txt),0)&gt;0,IFERROR(SEARCH("cost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7" s="54" t="str" cm="1">
        <f t="array" ref="S7">_xlfn.LET(_xlpm.txt,LOWER(B7&amp;" "&amp;C7&amp;" "&amp;F7&amp;" "&amp;M7&amp;" "&amp;O7),_xlfn.IFS(IFERROR(SEARCH("diw",_xlpm.txt),0)&gt;0,"diw",IFERROR(SEARCH("cost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7" s="54" t="s">
        <v>63</v>
      </c>
    </row>
    <row r="8" spans="1:20" ht="71.25" hidden="1" x14ac:dyDescent="0.45">
      <c r="A8" s="54">
        <f>raw!A18</f>
        <v>14</v>
      </c>
      <c r="B8" s="54" t="str">
        <f>raw!B18</f>
        <v>Planner - Tasks</v>
      </c>
      <c r="C8" s="54" t="str">
        <f>raw!C18</f>
        <v>System</v>
      </c>
      <c r="D8" s="54" t="str">
        <f>raw!D18</f>
        <v>Must</v>
      </c>
      <c r="E8" s="54" t="str">
        <f>raw!E18</f>
        <v>Bug</v>
      </c>
      <c r="F8" s="54" t="str">
        <f>_xlfn.TEXTJOIN(CHAR(10),TRUE,raw!F18:F20)</f>
        <v>Update Task 4 Finish Date:
Job 21231 was completed on 17 May 2026. The completion date was entered as 16 Mar 2026; however, it is not reflected under “Actual Completion.”
2. Unable to select “Cancel for Approval.”</v>
      </c>
      <c r="G8" s="55">
        <f>raw!G18</f>
        <v>46097</v>
      </c>
      <c r="H8" s="54" t="str">
        <f>raw!H18</f>
        <v>Ricky</v>
      </c>
      <c r="I8" s="54" t="str">
        <f>raw!I18</f>
        <v>Refer to Screen Capture</v>
      </c>
      <c r="J8" s="54" t="str">
        <f>raw!J18</f>
        <v>None</v>
      </c>
      <c r="K8" s="54">
        <f>raw!K18</f>
        <v>0</v>
      </c>
      <c r="L8" s="54">
        <f>raw!L18</f>
        <v>0</v>
      </c>
      <c r="M8" s="54" t="str">
        <f>_xlfn.TEXTJOIN(CHAR(10),TRUE,raw!M18:M20)</f>
        <v>Dev to reproduce issue</v>
      </c>
      <c r="N8" s="54">
        <f>raw!N18</f>
        <v>0</v>
      </c>
      <c r="O8" s="54" t="str">
        <f>_xlfn.TEXTJOIN(CHAR(10),TRUE,raw!O18:O20)</f>
        <v>high, operational risk</v>
      </c>
      <c r="P8" s="54">
        <f>raw!P18</f>
        <v>0</v>
      </c>
      <c r="Q8" s="54" t="str">
        <f>raw!Q18</f>
        <v>Not yet fix</v>
      </c>
      <c r="R8" s="54" t="str" cm="1">
        <f t="array" ref="R8">_xlfn.LET(_xlpm.txt,LOWER(B8&amp;" "&amp;C8&amp;" "&amp;F8&amp;" "&amp;M8&amp;" "&amp;O8),_xlfn.IFS(OR(IFERROR(SEARCH("diw",_xlpm.txt),0)&gt;0,IFERROR(SEARCH("cost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8" s="54" t="str" cm="1">
        <f t="array" ref="S8">_xlfn.LET(_xlpm.txt,LOWER(B8&amp;" "&amp;C8&amp;" "&amp;F8&amp;" "&amp;M8&amp;" "&amp;O8),_xlfn.IFS(IFERROR(SEARCH("diw",_xlpm.txt),0)&gt;0,"diw",IFERROR(SEARCH("cost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8" s="54" t="s">
        <v>465</v>
      </c>
    </row>
    <row r="9" spans="1:20" ht="28.5" hidden="1" x14ac:dyDescent="0.45">
      <c r="A9" s="54">
        <f>raw!A21</f>
        <v>15</v>
      </c>
      <c r="B9" s="54" t="str">
        <f>raw!B21</f>
        <v>Notification - Line Manager</v>
      </c>
      <c r="C9" s="54" t="str">
        <f>raw!C21</f>
        <v>System</v>
      </c>
      <c r="D9" s="54" t="str">
        <f>raw!D21</f>
        <v>Must</v>
      </c>
      <c r="E9" s="54" t="str">
        <f>raw!E21</f>
        <v>Bug</v>
      </c>
      <c r="F9" s="54" t="str">
        <f>raw!F21</f>
        <v>No items in the line manager notification list even there are few items are pending approval</v>
      </c>
      <c r="G9" s="55">
        <f>raw!G21</f>
        <v>46098</v>
      </c>
      <c r="H9" s="54" t="str">
        <f>raw!H21</f>
        <v>Ray</v>
      </c>
      <c r="I9" s="54" t="str">
        <f>raw!I21</f>
        <v>Refer to Screen Capture</v>
      </c>
      <c r="J9" s="54" t="str">
        <f>raw!J21</f>
        <v>Bug</v>
      </c>
      <c r="K9" s="54" t="str">
        <f>raw!K21</f>
        <v>P3</v>
      </c>
      <c r="L9" s="54">
        <f>raw!L21</f>
        <v>0</v>
      </c>
      <c r="M9" s="54" t="str">
        <f>raw!M21</f>
        <v xml:space="preserve">Notifications seems to disappear in View All screen </v>
      </c>
      <c r="N9" s="54">
        <f>raw!N21</f>
        <v>0</v>
      </c>
      <c r="O9" s="54" t="str">
        <f>raw!O21</f>
        <v>high, bug</v>
      </c>
      <c r="P9" s="54">
        <f>raw!P21</f>
        <v>0</v>
      </c>
      <c r="Q9" s="54" t="str">
        <f>raw!Q21</f>
        <v>Not yet fix</v>
      </c>
      <c r="R9" s="54" t="str" cm="1">
        <f t="array" ref="R9">_xlfn.LET(_xlpm.txt,LOWER(B9&amp;" "&amp;C9&amp;" "&amp;F9&amp;" "&amp;M9&amp;" "&amp;O9),_xlfn.IFS(OR(IFERROR(SEARCH("diw",_xlpm.txt),0)&gt;0,IFERROR(SEARCH("cost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9" s="54" t="str" cm="1">
        <f t="array" ref="S9">_xlfn.LET(_xlpm.txt,LOWER(B9&amp;" "&amp;C9&amp;" "&amp;F9&amp;" "&amp;M9&amp;" "&amp;O9),_xlfn.IFS(IFERROR(SEARCH("diw",_xlpm.txt),0)&gt;0,"diw",IFERROR(SEARCH("cost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9" s="54" t="s">
        <v>465</v>
      </c>
    </row>
    <row r="10" spans="1:20" ht="28.5" hidden="1" x14ac:dyDescent="0.45">
      <c r="A10" s="54">
        <f>raw!A27</f>
        <v>20</v>
      </c>
      <c r="B10" s="54" t="str">
        <f>raw!B27</f>
        <v>Notification</v>
      </c>
      <c r="C10" s="54" t="str">
        <f>raw!C27</f>
        <v>System</v>
      </c>
      <c r="D10" s="54" t="str">
        <f>raw!D27</f>
        <v>Must</v>
      </c>
      <c r="E10" s="54" t="str">
        <f>raw!E27</f>
        <v>Bug</v>
      </c>
      <c r="F10" s="54" t="str">
        <f>raw!F27</f>
        <v>The hour counting is incorrect</v>
      </c>
      <c r="G10" s="55">
        <f>raw!G27</f>
        <v>46098</v>
      </c>
      <c r="H10" s="54" t="str">
        <f>raw!H27</f>
        <v>Ray</v>
      </c>
      <c r="I10" s="54" t="str">
        <f>raw!I27</f>
        <v>Refer to Screen Capture</v>
      </c>
      <c r="J10" s="54" t="str">
        <f>raw!J27</f>
        <v>Bug</v>
      </c>
      <c r="K10" s="54" t="str">
        <f>raw!K27</f>
        <v>P4</v>
      </c>
      <c r="L10" s="54">
        <f>raw!L27</f>
        <v>0</v>
      </c>
      <c r="M10" s="54" t="str">
        <f>raw!M27</f>
        <v>Needs to be addressed</v>
      </c>
      <c r="N10" s="54">
        <f>raw!N27</f>
        <v>0</v>
      </c>
      <c r="O10" s="54" t="str">
        <f>raw!O27</f>
        <v>Low</v>
      </c>
      <c r="P10" s="54">
        <f>raw!P27</f>
        <v>0</v>
      </c>
      <c r="Q10" s="54" t="str">
        <f>raw!Q27</f>
        <v>Fixed</v>
      </c>
      <c r="R10" s="54" t="str" cm="1">
        <f t="array" ref="R10">_xlfn.LET(_xlpm.txt,LOWER(B10&amp;" "&amp;C10&amp;" "&amp;F10&amp;" "&amp;M10&amp;" "&amp;O10),_xlfn.IFS(OR(IFERROR(SEARCH("diw",_xlpm.txt),0)&gt;0,IFERROR(SEARCH("cost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0" s="54" t="str" cm="1">
        <f t="array" ref="S10">_xlfn.LET(_xlpm.txt,LOWER(B10&amp;" "&amp;C10&amp;" "&amp;F10&amp;" "&amp;M10&amp;" "&amp;O10),_xlfn.IFS(IFERROR(SEARCH("diw",_xlpm.txt),0)&gt;0,"diw",IFERROR(SEARCH("cost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10" s="54" t="s">
        <v>63</v>
      </c>
    </row>
    <row r="11" spans="1:20" ht="57" hidden="1" x14ac:dyDescent="0.45">
      <c r="A11" s="54">
        <f>raw!A31</f>
        <v>24</v>
      </c>
      <c r="B11" s="54" t="str">
        <f>raw!B31</f>
        <v>Notification - Line Manager</v>
      </c>
      <c r="C11" s="54" t="str">
        <f>raw!C31</f>
        <v>System</v>
      </c>
      <c r="D11" s="54" t="str">
        <f>raw!D31</f>
        <v>Must</v>
      </c>
      <c r="E11" s="54" t="str">
        <f>raw!E31</f>
        <v>Bug</v>
      </c>
      <c r="F11" s="54" t="str">
        <f>raw!F31</f>
        <v>When I click Accept on an approval task, the approvals list does not refresh immediately to remove the task card. I have to close and reopen the list to see the update. In addition, the task continues to display “Pending for approval”.</v>
      </c>
      <c r="G11" s="55">
        <f>raw!G31</f>
        <v>46098</v>
      </c>
      <c r="H11" s="54" t="str">
        <f>raw!H31</f>
        <v>Ray</v>
      </c>
      <c r="I11" s="54" t="str">
        <f>raw!I31</f>
        <v>Refer to Screen Capture</v>
      </c>
      <c r="J11" s="54" t="str">
        <f>raw!J31</f>
        <v>Bug</v>
      </c>
      <c r="K11" s="54" t="str">
        <f>raw!K31</f>
        <v>P3</v>
      </c>
      <c r="L11" s="54">
        <f>raw!L31</f>
        <v>0</v>
      </c>
      <c r="M11" s="54" t="str">
        <f>raw!M31</f>
        <v>Needs to be addressed</v>
      </c>
      <c r="N11" s="54">
        <f>raw!N31</f>
        <v>0</v>
      </c>
      <c r="O11" s="54" t="str">
        <f>raw!O31</f>
        <v>medium, operational risk</v>
      </c>
      <c r="P11" s="54">
        <f>raw!P31</f>
        <v>0</v>
      </c>
      <c r="Q11" s="54" t="str">
        <f>raw!Q31</f>
        <v>Fixed</v>
      </c>
      <c r="R11" s="54" t="str" cm="1">
        <f t="array" ref="R11">_xlfn.LET(_xlpm.txt,LOWER(B11&amp;" "&amp;C11&amp;" "&amp;F11&amp;" "&amp;M11&amp;" "&amp;O11),_xlfn.IFS(OR(IFERROR(SEARCH("diw",_xlpm.txt),0)&gt;0,IFERROR(SEARCH("cost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1" s="54" t="str" cm="1">
        <f t="array" ref="S11">_xlfn.LET(_xlpm.txt,LOWER(B11&amp;" "&amp;C11&amp;" "&amp;F11&amp;" "&amp;M11&amp;" "&amp;O11),_xlfn.IFS(IFERROR(SEARCH("diw",_xlpm.txt),0)&gt;0,"diw",IFERROR(SEARCH("cost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11" s="54" t="s">
        <v>466</v>
      </c>
    </row>
    <row r="12" spans="1:20" ht="28.5" hidden="1" x14ac:dyDescent="0.45">
      <c r="A12" s="54">
        <f>raw!A32</f>
        <v>25</v>
      </c>
      <c r="B12" s="54" t="str">
        <f>raw!B32</f>
        <v>Tasks</v>
      </c>
      <c r="C12" s="54" t="str">
        <f>raw!C32</f>
        <v>System</v>
      </c>
      <c r="D12" s="54" t="str">
        <f>raw!D32</f>
        <v>Must</v>
      </c>
      <c r="E12" s="54" t="str">
        <f>raw!E32</f>
        <v>Bug</v>
      </c>
      <c r="F12" s="54" t="str">
        <f>raw!F32</f>
        <v>Unable to cancel for approval when click "Cancel for Approval" button</v>
      </c>
      <c r="G12" s="55">
        <f>raw!G32</f>
        <v>46098</v>
      </c>
      <c r="H12" s="54" t="str">
        <f>raw!H32</f>
        <v>Ray</v>
      </c>
      <c r="I12" s="54" t="str">
        <f>raw!I32</f>
        <v>Refer to Screen Capture</v>
      </c>
      <c r="J12" s="54" t="str">
        <f>raw!J32</f>
        <v>None</v>
      </c>
      <c r="K12" s="54">
        <f>raw!K32</f>
        <v>0</v>
      </c>
      <c r="L12" s="54">
        <f>raw!L32</f>
        <v>0</v>
      </c>
      <c r="M12" s="54">
        <f>raw!M32</f>
        <v>0</v>
      </c>
      <c r="N12" s="54">
        <f>raw!N32</f>
        <v>0</v>
      </c>
      <c r="O12" s="54" t="str">
        <f>raw!O32</f>
        <v>High</v>
      </c>
      <c r="P12" s="54">
        <f>raw!P32</f>
        <v>0</v>
      </c>
      <c r="Q12" s="54" t="str">
        <f>raw!Q32</f>
        <v>Not yet fix</v>
      </c>
      <c r="R12" s="54" t="str" cm="1">
        <f t="array" ref="R12">_xlfn.LET(_xlpm.txt,LOWER(B12&amp;" "&amp;C12&amp;" "&amp;F12&amp;" "&amp;M12&amp;" "&amp;O12),_xlfn.IFS(OR(IFERROR(SEARCH("diw",_xlpm.txt),0)&gt;0,IFERROR(SEARCH("cost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2" s="54" t="str" cm="1">
        <f t="array" ref="S12">_xlfn.LET(_xlpm.txt,LOWER(B12&amp;" "&amp;C12&amp;" "&amp;F12&amp;" "&amp;M12&amp;" "&amp;O12),_xlfn.IFS(IFERROR(SEARCH("diw",_xlpm.txt),0)&gt;0,"diw",IFERROR(SEARCH("cost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12" s="54" t="s">
        <v>102</v>
      </c>
    </row>
    <row r="13" spans="1:20" ht="28.5" hidden="1" x14ac:dyDescent="0.45">
      <c r="A13" s="54">
        <f>raw!A38</f>
        <v>31</v>
      </c>
      <c r="B13" s="54" t="str">
        <f>raw!B38</f>
        <v>Tasks - Approval Process</v>
      </c>
      <c r="C13" s="54" t="str">
        <f>raw!C38</f>
        <v>System</v>
      </c>
      <c r="D13" s="54" t="str">
        <f>raw!D38</f>
        <v>Must</v>
      </c>
      <c r="E13" s="54" t="str">
        <f>raw!E38</f>
        <v>Bug</v>
      </c>
      <c r="F13" s="54" t="str">
        <f>_xlfn.TEXTJOIN(CHAR(10),TRUE,raw!F38:F39)</f>
        <v>The list of pending approval tasks do not align with the actual pending approval task</v>
      </c>
      <c r="G13" s="55">
        <f>raw!G38</f>
        <v>46099</v>
      </c>
      <c r="H13" s="54" t="str">
        <f>raw!H38</f>
        <v>Ray</v>
      </c>
      <c r="I13" s="54" t="str">
        <f>raw!I38</f>
        <v>Refer to Screen Capture</v>
      </c>
      <c r="J13" s="54" t="str">
        <f>raw!J38</f>
        <v>Bug</v>
      </c>
      <c r="K13" s="54" t="str">
        <f>raw!K38</f>
        <v>P4</v>
      </c>
      <c r="L13" s="54">
        <f>raw!L38</f>
        <v>0</v>
      </c>
      <c r="M13" s="54" t="str">
        <f>_xlfn.TEXTJOIN(CHAR(10),TRUE,raw!M38:M39)</f>
        <v>Needs to be addressed</v>
      </c>
      <c r="N13" s="54">
        <f>raw!N38</f>
        <v>0</v>
      </c>
      <c r="O13" s="54" t="str">
        <f>_xlfn.TEXTJOIN(CHAR(10),TRUE,raw!O38:O39)</f>
        <v>High, bug</v>
      </c>
      <c r="P13" s="54">
        <f>raw!P38</f>
        <v>0</v>
      </c>
      <c r="Q13" s="54" t="str">
        <f>raw!Q38</f>
        <v>Fixed</v>
      </c>
      <c r="R13" s="54" t="str" cm="1">
        <f t="array" ref="R13">_xlfn.LET(_xlpm.txt,LOWER(B13&amp;" "&amp;C13&amp;" "&amp;F13&amp;" "&amp;M13&amp;" "&amp;O13),_xlfn.IFS(OR(IFERROR(SEARCH("diw",_xlpm.txt),0)&gt;0,IFERROR(SEARCH("cost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3" s="54" t="str" cm="1">
        <f t="array" ref="S13">_xlfn.LET(_xlpm.txt,LOWER(B13&amp;" "&amp;C13&amp;" "&amp;F13&amp;" "&amp;M13&amp;" "&amp;O13),_xlfn.IFS(IFERROR(SEARCH("diw",_xlpm.txt),0)&gt;0,"diw",IFERROR(SEARCH("cost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13" s="54" t="s">
        <v>102</v>
      </c>
    </row>
    <row r="14" spans="1:20" ht="42.75" hidden="1" x14ac:dyDescent="0.45">
      <c r="A14" s="54">
        <f>raw!A94</f>
        <v>64</v>
      </c>
      <c r="B14" s="54" t="str">
        <f>raw!B94</f>
        <v>Notification</v>
      </c>
      <c r="C14" s="54" t="str">
        <f>raw!C94</f>
        <v>System</v>
      </c>
      <c r="D14" s="54" t="str">
        <f>raw!D94</f>
        <v>Must</v>
      </c>
      <c r="E14" s="54" t="str">
        <f>raw!E94</f>
        <v>Bug</v>
      </c>
      <c r="F14" s="54" t="str">
        <f>raw!F94</f>
        <v>When there are no pending approval tasks, the approval notification icon displays system update logs. We expect the system to display nothing when there are no approval items for Approval Icon.</v>
      </c>
      <c r="G14" s="55">
        <f>raw!G94</f>
        <v>46108</v>
      </c>
      <c r="H14" s="54" t="str">
        <f>raw!H94</f>
        <v>Ray</v>
      </c>
      <c r="I14" s="54" t="str">
        <f>raw!I94</f>
        <v>Refer to Screen Capture</v>
      </c>
      <c r="J14" s="54" t="str">
        <f>raw!J94</f>
        <v>Bug</v>
      </c>
      <c r="K14" s="54">
        <f>raw!K94</f>
        <v>0</v>
      </c>
      <c r="L14" s="54">
        <f>raw!L94</f>
        <v>0</v>
      </c>
      <c r="M14" s="54">
        <f>raw!M94</f>
        <v>0</v>
      </c>
      <c r="N14" s="54">
        <f>raw!N94</f>
        <v>0</v>
      </c>
      <c r="O14" s="54" t="str">
        <f>raw!O94</f>
        <v>medium, operational risk</v>
      </c>
      <c r="P14" s="54">
        <f>raw!P94</f>
        <v>0</v>
      </c>
      <c r="Q14" s="54" t="str">
        <f>raw!Q94</f>
        <v>Fixed</v>
      </c>
      <c r="R14" s="54" t="str" cm="1">
        <f t="array" ref="R14">_xlfn.LET(_xlpm.txt,LOWER(B14&amp;" "&amp;C14&amp;" "&amp;F14&amp;" "&amp;M14&amp;" "&amp;O14),_xlfn.IFS(OR(IFERROR(SEARCH("diw",_xlpm.txt),0)&gt;0,IFERROR(SEARCH("cost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4" s="54" t="str" cm="1">
        <f t="array" ref="S14">_xlfn.LET(_xlpm.txt,LOWER(B14&amp;" "&amp;C14&amp;" "&amp;F14&amp;" "&amp;M14&amp;" "&amp;O14),_xlfn.IFS(IFERROR(SEARCH("diw",_xlpm.txt),0)&gt;0,"diw",IFERROR(SEARCH("cost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14" s="54" t="s">
        <v>466</v>
      </c>
    </row>
    <row r="15" spans="1:20" ht="28.5" hidden="1" x14ac:dyDescent="0.45">
      <c r="A15" s="54">
        <f>raw!A102</f>
        <v>68</v>
      </c>
      <c r="B15" s="54" t="str">
        <f>raw!B102</f>
        <v>Task Update</v>
      </c>
      <c r="C15" s="54" t="str">
        <f>raw!C102</f>
        <v>System</v>
      </c>
      <c r="D15" s="54" t="str">
        <f>raw!D102</f>
        <v>Must</v>
      </c>
      <c r="E15" s="54" t="str">
        <f>raw!E102</f>
        <v>Bug</v>
      </c>
      <c r="F15" s="54" t="str">
        <f>raw!F102</f>
        <v>what is the max length of reject reason? System error when the reason is a long text</v>
      </c>
      <c r="G15" s="55">
        <f>raw!G102</f>
        <v>46113</v>
      </c>
      <c r="H15" s="54" t="str">
        <f>raw!H102</f>
        <v>Ray</v>
      </c>
      <c r="I15" s="54" t="str">
        <f>raw!I102</f>
        <v>N/A</v>
      </c>
      <c r="J15" s="54" t="str">
        <f>raw!J102</f>
        <v>Bug</v>
      </c>
      <c r="K15" s="54" t="str">
        <f>raw!K102</f>
        <v>P4</v>
      </c>
      <c r="L15" s="54">
        <f>raw!L102</f>
        <v>0</v>
      </c>
      <c r="M15" s="54">
        <f>raw!M102</f>
        <v>0</v>
      </c>
      <c r="N15" s="54">
        <f>raw!N102</f>
        <v>0</v>
      </c>
      <c r="O15" s="54" t="str">
        <f>raw!O102</f>
        <v>medium, operational risk</v>
      </c>
      <c r="P15" s="54">
        <f>raw!P102</f>
        <v>0</v>
      </c>
      <c r="Q15" s="54" t="str">
        <f>raw!Q102</f>
        <v>Not yet fix</v>
      </c>
      <c r="R15" s="54" t="str" cm="1">
        <f t="array" ref="R15">_xlfn.LET(_xlpm.txt,LOWER(B15&amp;" "&amp;C15&amp;" "&amp;F15&amp;" "&amp;M15&amp;" "&amp;O15),_xlfn.IFS(OR(IFERROR(SEARCH("diw",_xlpm.txt),0)&gt;0,IFERROR(SEARCH("cost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5" s="54" t="str" cm="1">
        <f t="array" ref="S15">_xlfn.LET(_xlpm.txt,LOWER(B15&amp;" "&amp;C15&amp;" "&amp;F15&amp;" "&amp;M15&amp;" "&amp;O15),_xlfn.IFS(IFERROR(SEARCH("diw",_xlpm.txt),0)&gt;0,"diw",IFERROR(SEARCH("cost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reject reason</v>
      </c>
      <c r="T15" s="54" t="s">
        <v>466</v>
      </c>
    </row>
    <row r="16" spans="1:20" ht="42.75" hidden="1" x14ac:dyDescent="0.45">
      <c r="A16" s="54">
        <f>raw!A103</f>
        <v>69</v>
      </c>
      <c r="B16" s="54" t="str">
        <f>raw!B103</f>
        <v>Notification - Approval</v>
      </c>
      <c r="C16" s="54" t="str">
        <f>raw!C103</f>
        <v>System</v>
      </c>
      <c r="D16" s="54" t="str">
        <f>raw!D103</f>
        <v>Must</v>
      </c>
      <c r="E16" s="54" t="str">
        <f>raw!E103</f>
        <v>Bug</v>
      </c>
      <c r="F16" s="54" t="str">
        <f>raw!F103</f>
        <v>In the view all page, Line manager section. Expected Completion Date means Projected Completion Date? if yes, please update. And please add the column of "Actual Completion Date" in this table too.</v>
      </c>
      <c r="G16" s="55">
        <f>raw!G103</f>
        <v>46113</v>
      </c>
      <c r="H16" s="54" t="str">
        <f>raw!H103</f>
        <v>Ray</v>
      </c>
      <c r="I16" s="54" t="str">
        <f>raw!I103</f>
        <v>Refer to Screen Capture</v>
      </c>
      <c r="J16" s="54" t="str">
        <f>raw!J103</f>
        <v>Enhancement</v>
      </c>
      <c r="K16" s="54">
        <f>raw!K103</f>
        <v>0</v>
      </c>
      <c r="L16" s="54">
        <f>raw!L103</f>
        <v>0</v>
      </c>
      <c r="M16" s="54">
        <f>raw!M103</f>
        <v>0</v>
      </c>
      <c r="N16" s="54">
        <f>raw!N103</f>
        <v>0</v>
      </c>
      <c r="O16" s="54" t="str">
        <f>raw!O103</f>
        <v>low, display issue</v>
      </c>
      <c r="P16" s="54">
        <f>raw!P103</f>
        <v>0</v>
      </c>
      <c r="Q16" s="54">
        <f>raw!Q103</f>
        <v>0</v>
      </c>
      <c r="R16" s="54" t="str" cm="1">
        <f t="array" ref="R16">_xlfn.LET(_xlpm.txt,LOWER(B16&amp;" "&amp;C16&amp;" "&amp;F16&amp;" "&amp;M16&amp;" "&amp;O16),_xlfn.IFS(OR(IFERROR(SEARCH("diw",_xlpm.txt),0)&gt;0,IFERROR(SEARCH("cost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6" s="54" t="str" cm="1">
        <f t="array" ref="S16">_xlfn.LET(_xlpm.txt,LOWER(B16&amp;" "&amp;C16&amp;" "&amp;F16&amp;" "&amp;M16&amp;" "&amp;O16),_xlfn.IFS(IFERROR(SEARCH("diw",_xlpm.txt),0)&gt;0,"diw",IFERROR(SEARCH("cost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16" s="54" t="s">
        <v>467</v>
      </c>
    </row>
    <row r="17" spans="1:20" ht="28.5" hidden="1" x14ac:dyDescent="0.45">
      <c r="A17" s="54">
        <f>raw!A104</f>
        <v>70</v>
      </c>
      <c r="B17" s="54" t="str">
        <f>raw!B104</f>
        <v>Admin -&gt; Streamer settings -&gt;  Task Owner Settings</v>
      </c>
      <c r="C17" s="54" t="str">
        <f>raw!C104</f>
        <v>System</v>
      </c>
      <c r="D17" s="54" t="str">
        <f>raw!D104</f>
        <v>Must</v>
      </c>
      <c r="E17" s="54" t="str">
        <f>raw!E104</f>
        <v>Bug</v>
      </c>
      <c r="F17" s="54" t="str">
        <f>_xlfn.TEXTJOIN(CHAR(10),TRUE,raw!F104:F105)</f>
        <v>Task Owner setting cannot be saved for more than two users.
E.g. add user to line manager or user, unable to click the "Save" button</v>
      </c>
      <c r="G17" s="55">
        <f>raw!G104</f>
        <v>46057</v>
      </c>
      <c r="H17" s="54" t="str">
        <f>raw!H104</f>
        <v>Ricky</v>
      </c>
      <c r="I17" s="54" t="str">
        <f>raw!I104</f>
        <v>Refer to Screen Capture</v>
      </c>
      <c r="J17" s="54" t="str">
        <f>raw!J104</f>
        <v>Bug</v>
      </c>
      <c r="K17" s="54" t="str">
        <f>raw!K104</f>
        <v>P1</v>
      </c>
      <c r="L17" s="54">
        <f>raw!L104</f>
        <v>0</v>
      </c>
      <c r="M17" s="54" t="str">
        <f>_xlfn.TEXTJOIN(CHAR(10),TRUE,raw!M104:M105)</f>
        <v>Fixed</v>
      </c>
      <c r="N17" s="54">
        <f>raw!N104</f>
        <v>0</v>
      </c>
      <c r="O17" s="54" t="str">
        <f>_xlfn.TEXTJOIN(CHAR(10),TRUE,raw!O104:O105)</f>
        <v>medium, fixed</v>
      </c>
      <c r="P17" s="54">
        <f>raw!P104</f>
        <v>0</v>
      </c>
      <c r="Q17" s="54">
        <f>raw!Q104</f>
        <v>0</v>
      </c>
      <c r="R17" s="54" t="str" cm="1">
        <f t="array" ref="R17">_xlfn.LET(_xlpm.txt,LOWER(B17&amp;" "&amp;C17&amp;" "&amp;F17&amp;" "&amp;M17&amp;" "&amp;O17),_xlfn.IFS(OR(IFERROR(SEARCH("diw",_xlpm.txt),0)&gt;0,IFERROR(SEARCH("cost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7" s="54" t="str" cm="1">
        <f t="array" ref="S17">_xlfn.LET(_xlpm.txt,LOWER(B17&amp;" "&amp;C17&amp;" "&amp;F17&amp;" "&amp;M17&amp;" "&amp;O17),_xlfn.IFS(IFERROR(SEARCH("diw",_xlpm.txt),0)&gt;0,"diw",IFERROR(SEARCH("cost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line manager</v>
      </c>
      <c r="T17" s="54" t="s">
        <v>466</v>
      </c>
    </row>
    <row r="18" spans="1:20" ht="28.5" hidden="1" x14ac:dyDescent="0.45">
      <c r="A18" s="54">
        <f>raw!A107</f>
        <v>72</v>
      </c>
      <c r="B18" s="54" t="str">
        <f>raw!B107</f>
        <v>Task Update</v>
      </c>
      <c r="C18" s="54" t="str">
        <f>raw!C107</f>
        <v>System</v>
      </c>
      <c r="D18" s="54" t="str">
        <f>raw!D107</f>
        <v>Must</v>
      </c>
      <c r="E18" s="54" t="str">
        <f>raw!E107</f>
        <v>Bug</v>
      </c>
      <c r="F18" s="54" t="str">
        <f>raw!F107</f>
        <v>L03 - Complete to WIP, Line manager approval needed</v>
      </c>
      <c r="G18" s="55">
        <f>raw!G107</f>
        <v>46114</v>
      </c>
      <c r="H18" s="54" t="str">
        <f>raw!H107</f>
        <v>Praveen on Ray's Behalf</v>
      </c>
      <c r="I18" s="54">
        <f>raw!I107</f>
        <v>0</v>
      </c>
      <c r="J18" s="54" t="str">
        <f>raw!J107</f>
        <v>Bug</v>
      </c>
      <c r="K18" s="54" t="str">
        <f>raw!K107</f>
        <v>P3</v>
      </c>
      <c r="L18" s="54">
        <f>raw!L107</f>
        <v>0</v>
      </c>
      <c r="M18" s="54" t="str">
        <f>raw!M107</f>
        <v>To be fixed in Patch 1 - Apr4</v>
      </c>
      <c r="N18" s="54">
        <f>raw!N107</f>
        <v>0</v>
      </c>
      <c r="O18" s="54" t="str">
        <f>raw!O107</f>
        <v>High</v>
      </c>
      <c r="P18" s="54">
        <f>raw!P107</f>
        <v>0</v>
      </c>
      <c r="Q18" s="54">
        <f>raw!Q107</f>
        <v>0</v>
      </c>
      <c r="R18" s="54" t="str" cm="1">
        <f t="array" ref="R18">_xlfn.LET(_xlpm.txt,LOWER(B18&amp;" "&amp;C18&amp;" "&amp;F18&amp;" "&amp;M18&amp;" "&amp;O18),_xlfn.IFS(OR(IFERROR(SEARCH("diw",_xlpm.txt),0)&gt;0,IFERROR(SEARCH("cost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8" s="54" t="str" cm="1">
        <f t="array" ref="S18">_xlfn.LET(_xlpm.txt,LOWER(B18&amp;" "&amp;C18&amp;" "&amp;F18&amp;" "&amp;M18&amp;" "&amp;O18),_xlfn.IFS(IFERROR(SEARCH("diw",_xlpm.txt),0)&gt;0,"diw",IFERROR(SEARCH("cost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line manager</v>
      </c>
      <c r="T18" s="54" t="s">
        <v>102</v>
      </c>
    </row>
    <row r="19" spans="1:20" ht="28.5" hidden="1" x14ac:dyDescent="0.45">
      <c r="A19" s="54">
        <f>raw!A115</f>
        <v>79</v>
      </c>
      <c r="B19" s="54" t="str">
        <f>raw!B115</f>
        <v>Line Manager</v>
      </c>
      <c r="C19" s="54" t="str">
        <f>raw!C115</f>
        <v>System</v>
      </c>
      <c r="D19" s="54" t="str">
        <f>raw!D115</f>
        <v>Must</v>
      </c>
      <c r="E19" s="54" t="str">
        <f>raw!E115</f>
        <v>Bug</v>
      </c>
      <c r="F19" s="54" t="str">
        <f>raw!F115</f>
        <v>F05 - Line manager rejects a back date entry requires reject reason - System error when type a long text reject reason</v>
      </c>
      <c r="G19" s="55">
        <f>raw!G115</f>
        <v>46114</v>
      </c>
      <c r="H19" s="54" t="str">
        <f>raw!H115</f>
        <v>Praveen on Ray's Behalf</v>
      </c>
      <c r="I19" s="54">
        <f>raw!I115</f>
        <v>0</v>
      </c>
      <c r="J19" s="54" t="str">
        <f>raw!J115</f>
        <v>Bug</v>
      </c>
      <c r="K19" s="54" t="str">
        <f>raw!K115</f>
        <v>P4</v>
      </c>
      <c r="L19" s="54">
        <f>raw!L115</f>
        <v>0</v>
      </c>
      <c r="M19" s="54" t="str">
        <f>raw!M115</f>
        <v>Fixed and will be available in Patch 1</v>
      </c>
      <c r="N19" s="54">
        <f>raw!N115</f>
        <v>0</v>
      </c>
      <c r="O19" s="54" t="str">
        <f>raw!O115</f>
        <v>High</v>
      </c>
      <c r="P19" s="54">
        <f>raw!P115</f>
        <v>0</v>
      </c>
      <c r="Q19" s="54">
        <f>raw!Q115</f>
        <v>0</v>
      </c>
      <c r="R19" s="54" t="str" cm="1">
        <f t="array" ref="R19">_xlfn.LET(_xlpm.txt,LOWER(B19&amp;" "&amp;C19&amp;" "&amp;F19&amp;" "&amp;M19&amp;" "&amp;O19),_xlfn.IFS(OR(IFERROR(SEARCH("diw",_xlpm.txt),0)&gt;0,IFERROR(SEARCH("cost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19" s="54" t="str" cm="1">
        <f t="array" ref="S19">_xlfn.LET(_xlpm.txt,LOWER(B19&amp;" "&amp;C19&amp;" "&amp;F19&amp;" "&amp;M19&amp;" "&amp;O19),_xlfn.IFS(IFERROR(SEARCH("diw",_xlpm.txt),0)&gt;0,"diw",IFERROR(SEARCH("cost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line manager</v>
      </c>
      <c r="T19" s="54" t="s">
        <v>102</v>
      </c>
    </row>
    <row r="20" spans="1:20" ht="28.5" hidden="1" x14ac:dyDescent="0.45">
      <c r="A20" s="54">
        <f>raw!A175</f>
        <v>103</v>
      </c>
      <c r="B20" s="54" t="str">
        <f>raw!B175</f>
        <v>Notification</v>
      </c>
      <c r="C20" s="54" t="str">
        <f>raw!C175</f>
        <v>System</v>
      </c>
      <c r="D20" s="54" t="str">
        <f>raw!D175</f>
        <v>Must</v>
      </c>
      <c r="E20" s="54" t="str">
        <f>raw!E175</f>
        <v>Enhancement</v>
      </c>
      <c r="F20" s="54" t="str">
        <f>raw!F175</f>
        <v>Notification does not have sufficient information (e.g. Sales Order, ESN, what has been updated etc.)</v>
      </c>
      <c r="G20" s="55">
        <f>raw!G175</f>
        <v>46121</v>
      </c>
      <c r="H20" s="54" t="str">
        <f>raw!H175</f>
        <v>CCB</v>
      </c>
      <c r="I20" s="54" t="str">
        <f>raw!I175</f>
        <v>N/A</v>
      </c>
      <c r="J20" s="54" t="str">
        <f>raw!J175</f>
        <v>Enhancement</v>
      </c>
      <c r="K20" s="54">
        <f>raw!K175</f>
        <v>0</v>
      </c>
      <c r="L20" s="54">
        <f>raw!L175</f>
        <v>0</v>
      </c>
      <c r="M20" s="54" t="str">
        <f>raw!M175</f>
        <v>Please mention which details are needed with a few sample messages @Ray</v>
      </c>
      <c r="N20" s="54">
        <f>raw!N175</f>
        <v>0</v>
      </c>
      <c r="O20" s="54" t="str">
        <f>raw!O175</f>
        <v>Medium, operational risk</v>
      </c>
      <c r="P20" s="54">
        <f>raw!P175</f>
        <v>0</v>
      </c>
      <c r="Q20" s="54">
        <f>raw!Q175</f>
        <v>0</v>
      </c>
      <c r="R20" s="54" t="str" cm="1">
        <f t="array" ref="R20">_xlfn.LET(_xlpm.txt,LOWER(B20&amp;" "&amp;C20&amp;" "&amp;F20&amp;" "&amp;M20&amp;" "&amp;O20),_xlfn.IFS(OR(IFERROR(SEARCH("diw",_xlpm.txt),0)&gt;0,IFERROR(SEARCH("cost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0" s="54" t="str" cm="1">
        <f t="array" ref="S20">_xlfn.LET(_xlpm.txt,LOWER(B20&amp;" "&amp;C20&amp;" "&amp;F20&amp;" "&amp;M20&amp;" "&amp;O20),_xlfn.IFS(IFERROR(SEARCH("diw",_xlpm.txt),0)&gt;0,"diw",IFERROR(SEARCH("cost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0" s="54" t="s">
        <v>48</v>
      </c>
    </row>
    <row r="21" spans="1:20" ht="28.5" hidden="1" x14ac:dyDescent="0.45">
      <c r="A21" s="54">
        <f>raw!A184</f>
        <v>111</v>
      </c>
      <c r="B21" s="54" t="str">
        <f>raw!B184</f>
        <v>Notification</v>
      </c>
      <c r="C21" s="54" t="str">
        <f>raw!C184</f>
        <v>System</v>
      </c>
      <c r="D21" s="54" t="str">
        <f>raw!D184</f>
        <v>Must</v>
      </c>
      <c r="E21" s="54" t="str">
        <f>raw!E184</f>
        <v>Bug</v>
      </c>
      <c r="F21" s="54" t="str">
        <f>raw!F184</f>
        <v>By clicking both Approval icon or Notification icon, the system only shows the approval request information.</v>
      </c>
      <c r="G21" s="55">
        <f>raw!G184</f>
        <v>46122</v>
      </c>
      <c r="H21" s="54" t="str">
        <f>raw!H184</f>
        <v>Ray</v>
      </c>
      <c r="I21" s="54" t="str">
        <f>raw!I184</f>
        <v>N/A</v>
      </c>
      <c r="J21" s="54" t="str">
        <f>raw!J184</f>
        <v>Bug</v>
      </c>
      <c r="K21" s="54">
        <f>raw!K184</f>
        <v>0</v>
      </c>
      <c r="L21" s="54">
        <f>raw!L184</f>
        <v>0</v>
      </c>
      <c r="M21" s="54">
        <f>raw!M184</f>
        <v>0</v>
      </c>
      <c r="N21" s="54">
        <f>raw!N184</f>
        <v>0</v>
      </c>
      <c r="O21" s="54" t="str">
        <f>raw!O184</f>
        <v>High,. Bug</v>
      </c>
      <c r="P21" s="54">
        <f>raw!P184</f>
        <v>0</v>
      </c>
      <c r="Q21" s="54">
        <f>raw!Q184</f>
        <v>0</v>
      </c>
      <c r="R21" s="54" t="str" cm="1">
        <f t="array" ref="R21">_xlfn.LET(_xlpm.txt,LOWER(B21&amp;" "&amp;C21&amp;" "&amp;F21&amp;" "&amp;M21&amp;" "&amp;O21),_xlfn.IFS(OR(IFERROR(SEARCH("diw",_xlpm.txt),0)&gt;0,IFERROR(SEARCH("cost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1" s="54" t="str" cm="1">
        <f t="array" ref="S21">_xlfn.LET(_xlpm.txt,LOWER(B21&amp;" "&amp;C21&amp;" "&amp;F21&amp;" "&amp;M21&amp;" "&amp;O21),_xlfn.IFS(IFERROR(SEARCH("diw",_xlpm.txt),0)&gt;0,"diw",IFERROR(SEARCH("cost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1" s="54" t="s">
        <v>102</v>
      </c>
    </row>
    <row r="22" spans="1:20" ht="28.5" hidden="1" x14ac:dyDescent="0.45">
      <c r="A22" s="54">
        <f>raw!A186</f>
        <v>113</v>
      </c>
      <c r="B22" s="54" t="str">
        <f>raw!B186</f>
        <v>Tasks</v>
      </c>
      <c r="C22" s="54" t="str">
        <f>raw!C186</f>
        <v>System</v>
      </c>
      <c r="D22" s="54" t="str">
        <f>raw!D186</f>
        <v>Must</v>
      </c>
      <c r="E22" s="54" t="str">
        <f>raw!E186</f>
        <v>Bug</v>
      </c>
      <c r="F22" s="54" t="str">
        <f>raw!F186</f>
        <v>cw-ray.lam@haesl.com not belong to any task owner dept, why I could update any task data, and do the approval?</v>
      </c>
      <c r="G22" s="55">
        <f>raw!G186</f>
        <v>46125</v>
      </c>
      <c r="H22" s="54" t="str">
        <f>raw!H186</f>
        <v>Ray</v>
      </c>
      <c r="I22" s="54" t="str">
        <f>raw!I186</f>
        <v>N/A</v>
      </c>
      <c r="J22" s="54">
        <f>raw!J186</f>
        <v>0</v>
      </c>
      <c r="K22" s="54">
        <f>raw!K186</f>
        <v>0</v>
      </c>
      <c r="L22" s="54">
        <f>raw!L186</f>
        <v>0</v>
      </c>
      <c r="M22" s="54">
        <f>raw!M186</f>
        <v>0</v>
      </c>
      <c r="N22" s="54">
        <f>raw!N186</f>
        <v>0</v>
      </c>
      <c r="O22" s="54" t="str">
        <f>raw!O186</f>
        <v>Medium, bug</v>
      </c>
      <c r="P22" s="54">
        <f>raw!P186</f>
        <v>0</v>
      </c>
      <c r="Q22" s="54">
        <f>raw!Q186</f>
        <v>0</v>
      </c>
      <c r="R22" s="54" t="str" cm="1">
        <f t="array" ref="R22">_xlfn.LET(_xlpm.txt,LOWER(B22&amp;" "&amp;C22&amp;" "&amp;F22&amp;" "&amp;M22&amp;" "&amp;O22),_xlfn.IFS(OR(IFERROR(SEARCH("diw",_xlpm.txt),0)&gt;0,IFERROR(SEARCH("cost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2" s="54" t="str" cm="1">
        <f t="array" ref="S22">_xlfn.LET(_xlpm.txt,LOWER(B22&amp;" "&amp;C22&amp;" "&amp;F22&amp;" "&amp;M22&amp;" "&amp;O22),_xlfn.IFS(IFERROR(SEARCH("diw",_xlpm.txt),0)&gt;0,"diw",IFERROR(SEARCH("cost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22" s="54" t="s">
        <v>48</v>
      </c>
    </row>
    <row r="23" spans="1:20" ht="28.5" hidden="1" x14ac:dyDescent="0.45">
      <c r="A23" s="54">
        <f>raw!A187</f>
        <v>114</v>
      </c>
      <c r="B23" s="54" t="str">
        <f>raw!B187</f>
        <v>Notification-Line Manager</v>
      </c>
      <c r="C23" s="54" t="str">
        <f>raw!C187</f>
        <v>System</v>
      </c>
      <c r="D23" s="54" t="str">
        <f>raw!D187</f>
        <v>Must</v>
      </c>
      <c r="E23" s="54" t="str">
        <f>raw!E187</f>
        <v>None</v>
      </c>
      <c r="F23" s="54" t="str">
        <f>raw!F187</f>
        <v>The View all page of Line Manager should show the  approved by and approved date column, some dept may have more than one line manager.</v>
      </c>
      <c r="G23" s="55">
        <f>raw!G187</f>
        <v>46125</v>
      </c>
      <c r="H23" s="54" t="str">
        <f>raw!H187</f>
        <v>Ray</v>
      </c>
      <c r="I23" s="54" t="str">
        <f>raw!I187</f>
        <v>N/A</v>
      </c>
      <c r="J23" s="54" t="str">
        <f>raw!J187</f>
        <v>Enhancement</v>
      </c>
      <c r="K23" s="54">
        <f>raw!K187</f>
        <v>0</v>
      </c>
      <c r="L23" s="54">
        <f>raw!L187</f>
        <v>0</v>
      </c>
      <c r="M23" s="54">
        <f>raw!M187</f>
        <v>0</v>
      </c>
      <c r="N23" s="54">
        <f>raw!N187</f>
        <v>0</v>
      </c>
      <c r="O23" s="54" t="str">
        <f>raw!O187</f>
        <v>Medium, informational clarity</v>
      </c>
      <c r="P23" s="54">
        <f>raw!P187</f>
        <v>0</v>
      </c>
      <c r="Q23" s="54">
        <f>raw!Q187</f>
        <v>0</v>
      </c>
      <c r="R23" s="54" t="str" cm="1">
        <f t="array" ref="R23">_xlfn.LET(_xlpm.txt,LOWER(B23&amp;" "&amp;C23&amp;" "&amp;F23&amp;" "&amp;M23&amp;" "&amp;O23),_xlfn.IFS(OR(IFERROR(SEARCH("diw",_xlpm.txt),0)&gt;0,IFERROR(SEARCH("cost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3" s="54" t="str" cm="1">
        <f t="array" ref="S23">_xlfn.LET(_xlpm.txt,LOWER(B23&amp;" "&amp;C23&amp;" "&amp;F23&amp;" "&amp;M23&amp;" "&amp;O23),_xlfn.IFS(IFERROR(SEARCH("diw",_xlpm.txt),0)&gt;0,"diw",IFERROR(SEARCH("cost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3" s="54" t="s">
        <v>48</v>
      </c>
    </row>
    <row r="24" spans="1:20" ht="128.25" hidden="1" x14ac:dyDescent="0.45">
      <c r="A24" s="54">
        <f>raw!A189</f>
        <v>116</v>
      </c>
      <c r="B24" s="54" t="str">
        <f>raw!B189</f>
        <v>Notification - Action Log</v>
      </c>
      <c r="C24" s="54" t="str">
        <f>raw!C189</f>
        <v>System</v>
      </c>
      <c r="D24" s="54" t="str">
        <f>raw!D189</f>
        <v>Must</v>
      </c>
      <c r="E24" s="54" t="str">
        <f>raw!E189</f>
        <v>Rework</v>
      </c>
      <c r="F24" s="54" t="str">
        <f>_xlfn.TEXTJOIN(CHAR(10),TRUE,raw!F189:F192)</f>
        <v>Action log does not show complete information (e.g. cannot show which category has been changed, which ESN, which S/O).
Able to clear all notification by a button.
And categorize the action log e.g. filter of task update action, filter of test plan update action, notify delayed task if the task WIP. if the action log is about task, user could click on the notification and redirect to the tasks details pop-up screen
If too much infomation in each action log, could default collapse and user click on the log will become expand?</v>
      </c>
      <c r="G24" s="55">
        <f>raw!G189</f>
        <v>46126</v>
      </c>
      <c r="H24" s="54" t="str">
        <f>raw!H189</f>
        <v>various</v>
      </c>
      <c r="I24" s="54" t="str">
        <f>raw!I189</f>
        <v>N/A</v>
      </c>
      <c r="J24" s="54">
        <f>raw!J189</f>
        <v>0</v>
      </c>
      <c r="K24" s="54">
        <f>raw!K189</f>
        <v>0</v>
      </c>
      <c r="L24" s="54">
        <f>raw!L189</f>
        <v>0</v>
      </c>
      <c r="M24" s="54" t="str">
        <f>_xlfn.TEXTJOIN(CHAR(10),TRUE,raw!M189:M192)</f>
        <v/>
      </c>
      <c r="N24" s="54">
        <f>raw!N189</f>
        <v>0</v>
      </c>
      <c r="O24" s="54" t="str">
        <f>_xlfn.TEXTJOIN(CHAR(10),TRUE,raw!O189:O192)</f>
        <v>Medium, multiple issues</v>
      </c>
      <c r="P24" s="54">
        <f>raw!P189</f>
        <v>0</v>
      </c>
      <c r="Q24" s="54">
        <f>raw!Q189</f>
        <v>0</v>
      </c>
      <c r="R24" s="54" t="str" cm="1">
        <f t="array" ref="R24">_xlfn.LET(_xlpm.txt,LOWER(B24&amp;" "&amp;C24&amp;" "&amp;F24&amp;" "&amp;M24&amp;" "&amp;O24),_xlfn.IFS(OR(IFERROR(SEARCH("diw",_xlpm.txt),0)&gt;0,IFERROR(SEARCH("cost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4" s="54" t="str" cm="1">
        <f t="array" ref="S24">_xlfn.LET(_xlpm.txt,LOWER(B24&amp;" "&amp;C24&amp;" "&amp;F24&amp;" "&amp;M24&amp;" "&amp;O24),_xlfn.IFS(IFERROR(SEARCH("diw",_xlpm.txt),0)&gt;0,"diw",IFERROR(SEARCH("cost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4" s="54" t="s">
        <v>48</v>
      </c>
    </row>
    <row r="25" spans="1:20" ht="28.5" hidden="1" x14ac:dyDescent="0.45">
      <c r="A25" s="54">
        <f>raw!A197</f>
        <v>121</v>
      </c>
      <c r="B25" s="54" t="str">
        <f>raw!B197</f>
        <v>streamer -&gt; task (aw approval)</v>
      </c>
      <c r="C25" s="54" t="str">
        <f>raw!C197</f>
        <v>System</v>
      </c>
      <c r="D25" s="54" t="str">
        <f>raw!D197</f>
        <v>Must</v>
      </c>
      <c r="E25" s="54" t="str">
        <f>raw!E197</f>
        <v>Bug</v>
      </c>
      <c r="F25" s="54" t="str">
        <f>raw!F197</f>
        <v>some awaiting approve task click enabled button than click the cancel for approval.whatever the task input the ACD and the task will be disabled</v>
      </c>
      <c r="G25" s="55">
        <f>raw!G197</f>
        <v>46126</v>
      </c>
      <c r="H25" s="54" t="str">
        <f>raw!H197</f>
        <v>Ray</v>
      </c>
      <c r="I25" s="54" t="str">
        <f>raw!I197</f>
        <v>N/A</v>
      </c>
      <c r="J25" s="54">
        <f>raw!J197</f>
        <v>0</v>
      </c>
      <c r="K25" s="54">
        <f>raw!K197</f>
        <v>0</v>
      </c>
      <c r="L25" s="54">
        <f>raw!L197</f>
        <v>0</v>
      </c>
      <c r="M25" s="54">
        <f>raw!M197</f>
        <v>0</v>
      </c>
      <c r="N25" s="54">
        <f>raw!N197</f>
        <v>0</v>
      </c>
      <c r="O25" s="54" t="str">
        <f>raw!O197</f>
        <v>Medium, bug</v>
      </c>
      <c r="P25" s="54">
        <f>raw!P197</f>
        <v>0</v>
      </c>
      <c r="Q25" s="54">
        <f>raw!Q197</f>
        <v>0</v>
      </c>
      <c r="R25" s="54" t="str" cm="1">
        <f t="array" ref="R25">_xlfn.LET(_xlpm.txt,LOWER(B25&amp;" "&amp;C25&amp;" "&amp;F25&amp;" "&amp;M25&amp;" "&amp;O25),_xlfn.IFS(OR(IFERROR(SEARCH("diw",_xlpm.txt),0)&gt;0,IFERROR(SEARCH("cost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5" s="54" t="str" cm="1">
        <f t="array" ref="S25">_xlfn.LET(_xlpm.txt,LOWER(B25&amp;" "&amp;C25&amp;" "&amp;F25&amp;" "&amp;M25&amp;" "&amp;O25),_xlfn.IFS(IFERROR(SEARCH("diw",_xlpm.txt),0)&gt;0,"diw",IFERROR(SEARCH("cost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25" s="54" t="s">
        <v>48</v>
      </c>
    </row>
    <row r="26" spans="1:20" ht="28.5" hidden="1" x14ac:dyDescent="0.45">
      <c r="A26" s="54">
        <f>raw!A211</f>
        <v>131</v>
      </c>
      <c r="B26" s="54" t="str">
        <f>raw!B211</f>
        <v>Task Owner &gt; Task Update</v>
      </c>
      <c r="C26" s="54" t="str">
        <f>raw!C211</f>
        <v>System</v>
      </c>
      <c r="D26" s="54" t="str">
        <f>raw!D211</f>
        <v>Must</v>
      </c>
      <c r="E26" s="54" t="str">
        <f>raw!E211</f>
        <v>Bug</v>
      </c>
      <c r="F26" s="54" t="str">
        <f>raw!F211</f>
        <v>Request to remove Actual Complation Date and request for approval was sent and approved. The Actual Completion still not removed.</v>
      </c>
      <c r="G26" s="55">
        <f>raw!G211</f>
        <v>46128</v>
      </c>
      <c r="H26" s="54" t="str">
        <f>raw!H211</f>
        <v>Eugene</v>
      </c>
      <c r="I26" s="54">
        <f>raw!I211</f>
        <v>0</v>
      </c>
      <c r="J26" s="54">
        <f>raw!J211</f>
        <v>0</v>
      </c>
      <c r="K26" s="54">
        <f>raw!K211</f>
        <v>0</v>
      </c>
      <c r="L26" s="54">
        <f>raw!L211</f>
        <v>0</v>
      </c>
      <c r="M26" s="54">
        <f>raw!M211</f>
        <v>0</v>
      </c>
      <c r="N26" s="54">
        <f>raw!N211</f>
        <v>0</v>
      </c>
      <c r="O26" s="54" t="str">
        <f>raw!O211</f>
        <v>High, bug</v>
      </c>
      <c r="P26" s="54">
        <f>raw!P211</f>
        <v>0</v>
      </c>
      <c r="Q26" s="54">
        <f>raw!Q211</f>
        <v>0</v>
      </c>
      <c r="R26" s="54" t="str" cm="1">
        <f t="array" ref="R26">_xlfn.LET(_xlpm.txt,LOWER(B26&amp;" "&amp;C26&amp;" "&amp;F26&amp;" "&amp;M26&amp;" "&amp;O26),_xlfn.IFS(OR(IFERROR(SEARCH("diw",_xlpm.txt),0)&gt;0,IFERROR(SEARCH("cost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6" s="54" t="str" cm="1">
        <f t="array" ref="S26">_xlfn.LET(_xlpm.txt,LOWER(B26&amp;" "&amp;C26&amp;" "&amp;F26&amp;" "&amp;M26&amp;" "&amp;O26),_xlfn.IFS(IFERROR(SEARCH("diw",_xlpm.txt),0)&gt;0,"diw",IFERROR(SEARCH("cost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approval</v>
      </c>
      <c r="T26" s="54" t="s">
        <v>102</v>
      </c>
    </row>
    <row r="27" spans="1:20" ht="28.5" hidden="1" x14ac:dyDescent="0.45">
      <c r="A27" s="54">
        <f>raw!A217</f>
        <v>135</v>
      </c>
      <c r="B27" s="54" t="str">
        <f>raw!B217</f>
        <v>Notification</v>
      </c>
      <c r="C27" s="54" t="str">
        <f>raw!C217</f>
        <v>System</v>
      </c>
      <c r="D27" s="54" t="str">
        <f>raw!D217</f>
        <v>Must</v>
      </c>
      <c r="E27" s="54" t="str">
        <f>raw!E217</f>
        <v>Bug</v>
      </c>
      <c r="F27" s="54" t="str">
        <f>raw!F217</f>
        <v>In the view all page, we found that the date column in the date format, user can not sort the data by date, please check all the column data type</v>
      </c>
      <c r="G27" s="55">
        <f>raw!G217</f>
        <v>46129</v>
      </c>
      <c r="H27" s="54" t="str">
        <f>raw!H217</f>
        <v>Ricky</v>
      </c>
      <c r="I27" s="54" t="str">
        <f>raw!I217</f>
        <v>N/A</v>
      </c>
      <c r="J27" s="54">
        <f>raw!J217</f>
        <v>0</v>
      </c>
      <c r="K27" s="54">
        <f>raw!K217</f>
        <v>0</v>
      </c>
      <c r="L27" s="54">
        <f>raw!L217</f>
        <v>0</v>
      </c>
      <c r="M27" s="54">
        <f>raw!M217</f>
        <v>0</v>
      </c>
      <c r="N27" s="54">
        <f>raw!N217</f>
        <v>0</v>
      </c>
      <c r="O27" s="54" t="str">
        <f>raw!O217</f>
        <v>Low</v>
      </c>
      <c r="P27" s="54">
        <f>raw!P217</f>
        <v>0</v>
      </c>
      <c r="Q27" s="54">
        <f>raw!Q217</f>
        <v>0</v>
      </c>
      <c r="R27" s="54" t="str" cm="1">
        <f t="array" ref="R27">_xlfn.LET(_xlpm.txt,LOWER(B27&amp;" "&amp;C27&amp;" "&amp;F27&amp;" "&amp;M27&amp;" "&amp;O27),_xlfn.IFS(OR(IFERROR(SEARCH("diw",_xlpm.txt),0)&gt;0,IFERROR(SEARCH("cost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7" s="54" t="str" cm="1">
        <f t="array" ref="S27">_xlfn.LET(_xlpm.txt,LOWER(B27&amp;" "&amp;C27&amp;" "&amp;F27&amp;" "&amp;M27&amp;" "&amp;O27),_xlfn.IFS(IFERROR(SEARCH("diw",_xlpm.txt),0)&gt;0,"diw",IFERROR(SEARCH("cost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7" s="54" t="s">
        <v>63</v>
      </c>
    </row>
    <row r="28" spans="1:20" ht="85.5" hidden="1" x14ac:dyDescent="0.45">
      <c r="A28" s="54">
        <f>raw!A219</f>
        <v>137</v>
      </c>
      <c r="B28" s="54" t="str">
        <f>raw!B219</f>
        <v>Notification - Approval Task</v>
      </c>
      <c r="C28" s="54" t="str">
        <f>raw!C219</f>
        <v>System</v>
      </c>
      <c r="D28" s="54" t="str">
        <f>raw!D219</f>
        <v>Should</v>
      </c>
      <c r="E28" s="54" t="str">
        <f>raw!E219</f>
        <v>Rework</v>
      </c>
      <c r="F28" s="54" t="str">
        <f>raw!F219</f>
        <v>For Task approval Line manager require more information to take action, missing sales order, not declare it is a backdate approval or ACD change approval, missing task name. Could system redirect to the task pop up by clicking on the approval notification? Remove the "X" in approval notification list, to avoid Line manager skip/missing any pending approval task.</v>
      </c>
      <c r="G28" s="55">
        <f>raw!G219</f>
        <v>46129</v>
      </c>
      <c r="H28" s="54" t="str">
        <f>raw!H219</f>
        <v>Various</v>
      </c>
      <c r="I28" s="54" t="str">
        <f>raw!I219</f>
        <v>N/A</v>
      </c>
      <c r="J28" s="54">
        <f>raw!J219</f>
        <v>0</v>
      </c>
      <c r="K28" s="54">
        <f>raw!K219</f>
        <v>0</v>
      </c>
      <c r="L28" s="54">
        <f>raw!L219</f>
        <v>0</v>
      </c>
      <c r="M28" s="54">
        <f>raw!M219</f>
        <v>0</v>
      </c>
      <c r="N28" s="54">
        <f>raw!N219</f>
        <v>0</v>
      </c>
      <c r="O28" s="54" t="str">
        <f>raw!O219</f>
        <v>High, operational risk</v>
      </c>
      <c r="P28" s="54">
        <f>raw!P219</f>
        <v>0</v>
      </c>
      <c r="Q28" s="54">
        <f>raw!Q219</f>
        <v>0</v>
      </c>
      <c r="R28" s="54" t="str" cm="1">
        <f t="array" ref="R28">_xlfn.LET(_xlpm.txt,LOWER(B28&amp;" "&amp;C28&amp;" "&amp;F28&amp;" "&amp;M28&amp;" "&amp;O28),_xlfn.IFS(OR(IFERROR(SEARCH("diw",_xlpm.txt),0)&gt;0,IFERROR(SEARCH("cost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8" s="54" t="str" cm="1">
        <f t="array" ref="S28">_xlfn.LET(_xlpm.txt,LOWER(B28&amp;" "&amp;C28&amp;" "&amp;F28&amp;" "&amp;M28&amp;" "&amp;O28),_xlfn.IFS(IFERROR(SEARCH("diw",_xlpm.txt),0)&gt;0,"diw",IFERROR(SEARCH("cost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8" s="54" t="s">
        <v>102</v>
      </c>
    </row>
    <row r="29" spans="1:20" ht="28.5" hidden="1" x14ac:dyDescent="0.45">
      <c r="A29" s="54">
        <f>raw!A222</f>
        <v>139</v>
      </c>
      <c r="B29" s="54" t="str">
        <f>raw!B222</f>
        <v>Notification</v>
      </c>
      <c r="C29" s="54" t="str">
        <f>raw!C222</f>
        <v>System</v>
      </c>
      <c r="D29" s="54" t="str">
        <f>raw!D222</f>
        <v>Should</v>
      </c>
      <c r="E29" s="54" t="str">
        <f>raw!E222</f>
        <v>Rework</v>
      </c>
      <c r="F29" s="54" t="str">
        <f>raw!F222</f>
        <v>Each notification allow me to redirect to the corresponding streamer/task for follow up</v>
      </c>
      <c r="G29" s="55">
        <f>raw!G222</f>
        <v>46129</v>
      </c>
      <c r="H29" s="54" t="str">
        <f>raw!H222</f>
        <v>Various</v>
      </c>
      <c r="I29" s="54" t="str">
        <f>raw!I222</f>
        <v>N/A</v>
      </c>
      <c r="J29" s="54">
        <f>raw!J222</f>
        <v>0</v>
      </c>
      <c r="K29" s="54">
        <f>raw!K222</f>
        <v>0</v>
      </c>
      <c r="L29" s="54">
        <f>raw!L222</f>
        <v>0</v>
      </c>
      <c r="M29" s="54">
        <f>raw!M222</f>
        <v>0</v>
      </c>
      <c r="N29" s="54">
        <f>raw!N222</f>
        <v>0</v>
      </c>
      <c r="O29" s="54" t="str">
        <f>raw!O222</f>
        <v>Medium, operational risk</v>
      </c>
      <c r="P29" s="54">
        <f>raw!P222</f>
        <v>0</v>
      </c>
      <c r="Q29" s="54">
        <f>raw!Q222</f>
        <v>0</v>
      </c>
      <c r="R29" s="54" t="str" cm="1">
        <f t="array" ref="R29">_xlfn.LET(_xlpm.txt,LOWER(B29&amp;" "&amp;C29&amp;" "&amp;F29&amp;" "&amp;M29&amp;" "&amp;O29),_xlfn.IFS(OR(IFERROR(SEARCH("diw",_xlpm.txt),0)&gt;0,IFERROR(SEARCH("cost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29" s="54" t="str" cm="1">
        <f t="array" ref="S29">_xlfn.LET(_xlpm.txt,LOWER(B29&amp;" "&amp;C29&amp;" "&amp;F29&amp;" "&amp;M29&amp;" "&amp;O29),_xlfn.IFS(IFERROR(SEARCH("diw",_xlpm.txt),0)&gt;0,"diw",IFERROR(SEARCH("cost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29" s="54" t="s">
        <v>48</v>
      </c>
    </row>
    <row r="30" spans="1:20" ht="28.5" hidden="1" x14ac:dyDescent="0.45">
      <c r="A30" s="54">
        <f>raw!A226</f>
        <v>142</v>
      </c>
      <c r="B30" s="54" t="str">
        <f>raw!B226</f>
        <v>Tasks</v>
      </c>
      <c r="C30" s="54" t="str">
        <f>raw!C226</f>
        <v>System</v>
      </c>
      <c r="D30" s="54" t="str">
        <f>raw!D226</f>
        <v>Must</v>
      </c>
      <c r="E30" s="54" t="str">
        <f>raw!E226</f>
        <v>Rework</v>
      </c>
      <c r="F30" s="54" t="str">
        <f>raw!F226</f>
        <v>As a task owner, how could I know the pending approval task was approved or rejected?</v>
      </c>
      <c r="G30" s="55">
        <f>raw!G226</f>
        <v>46129</v>
      </c>
      <c r="H30" s="54" t="str">
        <f>raw!H226</f>
        <v>Various</v>
      </c>
      <c r="I30" s="54" t="str">
        <f>raw!I226</f>
        <v>Refer to screen capture</v>
      </c>
      <c r="J30" s="54">
        <f>raw!J226</f>
        <v>0</v>
      </c>
      <c r="K30" s="54">
        <f>raw!K226</f>
        <v>0</v>
      </c>
      <c r="L30" s="54">
        <f>raw!L226</f>
        <v>0</v>
      </c>
      <c r="M30" s="54">
        <f>raw!M226</f>
        <v>0</v>
      </c>
      <c r="N30" s="54">
        <f>raw!N226</f>
        <v>0</v>
      </c>
      <c r="O30" s="54" t="str">
        <f>raw!O226</f>
        <v>Medium, not notify the requester</v>
      </c>
      <c r="P30" s="54">
        <f>raw!P226</f>
        <v>0</v>
      </c>
      <c r="Q30" s="54">
        <f>raw!Q226</f>
        <v>0</v>
      </c>
      <c r="R30" s="54" t="str" cm="1">
        <f t="array" ref="R30">_xlfn.LET(_xlpm.txt,LOWER(B30&amp;" "&amp;C30&amp;" "&amp;F30&amp;" "&amp;M30&amp;" "&amp;O30),_xlfn.IFS(OR(IFERROR(SEARCH("diw",_xlpm.txt),0)&gt;0,IFERROR(SEARCH("cost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Notification</v>
      </c>
      <c r="S30" s="54" t="str" cm="1">
        <f t="array" ref="S30">_xlfn.LET(_xlpm.txt,LOWER(B30&amp;" "&amp;C30&amp;" "&amp;F30&amp;" "&amp;M30&amp;" "&amp;O30),_xlfn.IFS(IFERROR(SEARCH("diw",_xlpm.txt),0)&gt;0,"diw",IFERROR(SEARCH("cost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notification</v>
      </c>
      <c r="T30" s="54" t="s">
        <v>48</v>
      </c>
    </row>
    <row r="31" spans="1:20" ht="42.75" hidden="1" x14ac:dyDescent="0.45">
      <c r="A31" s="54">
        <f>raw!A3</f>
        <v>2</v>
      </c>
      <c r="B31" s="54" t="str">
        <f>raw!B3</f>
        <v>Admin - Template Management</v>
      </c>
      <c r="C31" s="54" t="str">
        <f>raw!C3</f>
        <v>UI</v>
      </c>
      <c r="D31" s="54" t="str">
        <f>raw!D3</f>
        <v>Must</v>
      </c>
      <c r="E31" s="54" t="str">
        <f>raw!E3</f>
        <v>Bug</v>
      </c>
      <c r="F31" s="54" t="str">
        <f>_xlfn.TEXTJOIN(CHAR(10),TRUE,raw!F3:F4)</f>
        <v>Please remove "Hospital", "Check &amp; Repair", "1st Refurbishment", "2nd Refurbishment", "Mature Refurbishment" from the dropdown list.
Add "OH" in the list</v>
      </c>
      <c r="G31" s="55">
        <f>raw!G3</f>
        <v>46097</v>
      </c>
      <c r="H31" s="54" t="str">
        <f>raw!H3</f>
        <v>Ray</v>
      </c>
      <c r="I31" s="54" t="str">
        <f>raw!I3</f>
        <v>Refer to Screen Capture</v>
      </c>
      <c r="J31" s="54" t="str">
        <f>raw!J3</f>
        <v>Bug</v>
      </c>
      <c r="K31" s="54" t="str">
        <f>raw!K3</f>
        <v>P4</v>
      </c>
      <c r="L31" s="54">
        <f>raw!L3</f>
        <v>0</v>
      </c>
      <c r="M31" s="54" t="str">
        <f>_xlfn.TEXTJOIN(CHAR(10),TRUE,raw!M3:M4)</f>
        <v>Entries to be removed</v>
      </c>
      <c r="N31" s="54">
        <f>raw!N3</f>
        <v>0</v>
      </c>
      <c r="O31" s="54" t="str">
        <f>_xlfn.TEXTJOIN(CHAR(10),TRUE,raw!O3:O4)</f>
        <v>Low, no issue now</v>
      </c>
      <c r="P31" s="54">
        <f>raw!P3</f>
        <v>0</v>
      </c>
      <c r="Q31" s="54" t="str">
        <f>raw!Q3</f>
        <v>Fixed</v>
      </c>
      <c r="R31" s="54" t="str" cm="1">
        <f t="array" ref="R31">_xlfn.LET(_xlpm.txt,LOWER(B31&amp;" "&amp;C31&amp;" "&amp;F31&amp;" "&amp;M31&amp;" "&amp;O31),_xlfn.IFS(OR(IFERROR(SEARCH("diw",_xlpm.txt),0)&gt;0,IFERROR(SEARCH("cost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1" s="54" t="str" cm="1">
        <f t="array" ref="S31">_xlfn.LET(_xlpm.txt,LOWER(B31&amp;" "&amp;C31&amp;" "&amp;F31&amp;" "&amp;M31&amp;" "&amp;O31),_xlfn.IFS(IFERROR(SEARCH("diw",_xlpm.txt),0)&gt;0,"diw",IFERROR(SEARCH("cost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1" s="54" t="s">
        <v>63</v>
      </c>
    </row>
    <row r="32" spans="1:20" ht="42.75" hidden="1" x14ac:dyDescent="0.45">
      <c r="A32" s="54">
        <f>raw!A5</f>
        <v>3</v>
      </c>
      <c r="B32" s="54" t="str">
        <f>raw!B5</f>
        <v>Admin - Gate Setting</v>
      </c>
      <c r="C32" s="54" t="str">
        <f>raw!C5</f>
        <v>System</v>
      </c>
      <c r="D32" s="54" t="str">
        <f>raw!D5</f>
        <v>Must</v>
      </c>
      <c r="E32" s="54" t="str">
        <f>raw!E5</f>
        <v>Bug</v>
      </c>
      <c r="F32" s="54" t="str">
        <f>raw!F5</f>
        <v xml:space="preserve">Unable to show gate "1A" after create. </v>
      </c>
      <c r="G32" s="55">
        <f>raw!G5</f>
        <v>46097</v>
      </c>
      <c r="H32" s="54" t="str">
        <f>raw!H5</f>
        <v>Ray</v>
      </c>
      <c r="I32" s="54" t="str">
        <f>raw!I5</f>
        <v>Refer to Screen Capture</v>
      </c>
      <c r="J32" s="54" t="str">
        <f>raw!J5</f>
        <v>Bug</v>
      </c>
      <c r="K32" s="54" t="str">
        <f>raw!K5</f>
        <v>P4</v>
      </c>
      <c r="L32" s="54">
        <f>raw!L5</f>
        <v>0</v>
      </c>
      <c r="M32" s="54" t="str">
        <f>raw!M5</f>
        <v>Suspecting this can be observed when two users performing same operation at atime. Not able to reproduce it in dev by single user</v>
      </c>
      <c r="N32" s="54">
        <f>raw!N5</f>
        <v>0</v>
      </c>
      <c r="O32" s="54" t="str">
        <f>raw!O5</f>
        <v>Low, no issue now</v>
      </c>
      <c r="P32" s="54">
        <f>raw!P5</f>
        <v>0</v>
      </c>
      <c r="Q32" s="54" t="str">
        <f>raw!Q5</f>
        <v>Fixed</v>
      </c>
      <c r="R32" s="54" t="str" cm="1">
        <f t="array" ref="R32">_xlfn.LET(_xlpm.txt,LOWER(B32&amp;" "&amp;C32&amp;" "&amp;F32&amp;" "&amp;M32&amp;" "&amp;O32),_xlfn.IFS(OR(IFERROR(SEARCH("diw",_xlpm.txt),0)&gt;0,IFERROR(SEARCH("cost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2" s="54" t="str" cm="1">
        <f t="array" ref="S32">_xlfn.LET(_xlpm.txt,LOWER(B32&amp;" "&amp;C32&amp;" "&amp;F32&amp;" "&amp;M32&amp;" "&amp;O32),_xlfn.IFS(IFERROR(SEARCH("diw",_xlpm.txt),0)&gt;0,"diw",IFERROR(SEARCH("cost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2" s="54" t="s">
        <v>63</v>
      </c>
    </row>
    <row r="33" spans="1:20" ht="28.5" hidden="1" x14ac:dyDescent="0.45">
      <c r="A33" s="54">
        <f>raw!A7</f>
        <v>5</v>
      </c>
      <c r="B33" s="54" t="str">
        <f>raw!B7</f>
        <v>Planner - Create Streamer</v>
      </c>
      <c r="C33" s="54" t="str">
        <f>raw!C7</f>
        <v>System</v>
      </c>
      <c r="D33" s="54" t="str">
        <f>raw!D7</f>
        <v>Must</v>
      </c>
      <c r="E33" s="54" t="str">
        <f>raw!E7</f>
        <v>Bug</v>
      </c>
      <c r="F33" s="54" t="str">
        <f>raw!F7</f>
        <v>Induction date cannot be backdated.</v>
      </c>
      <c r="G33" s="55">
        <f>raw!G7</f>
        <v>46097</v>
      </c>
      <c r="H33" s="54" t="str">
        <f>raw!H7</f>
        <v>Ricky</v>
      </c>
      <c r="I33" s="54" t="str">
        <f>raw!I7</f>
        <v>Refer to Screen Capture</v>
      </c>
      <c r="J33" s="54" t="str">
        <f>raw!J7</f>
        <v>Bug</v>
      </c>
      <c r="K33" s="54" t="str">
        <f>raw!K7</f>
        <v>P2</v>
      </c>
      <c r="L33" s="54">
        <f>raw!L7</f>
        <v>0</v>
      </c>
      <c r="M33" s="54" t="str">
        <f>raw!M7</f>
        <v>Fixed</v>
      </c>
      <c r="N33" s="54">
        <f>raw!N7</f>
        <v>0</v>
      </c>
      <c r="O33" s="54" t="str">
        <f>raw!O7</f>
        <v>Medium, not fixed</v>
      </c>
      <c r="P33" s="54">
        <f>raw!P7</f>
        <v>0</v>
      </c>
      <c r="Q33" s="54" t="str">
        <f>raw!Q7</f>
        <v>Unstable Fix</v>
      </c>
      <c r="R33" s="54" t="str" cm="1">
        <f t="array" ref="R33">_xlfn.LET(_xlpm.txt,LOWER(B33&amp;" "&amp;C33&amp;" "&amp;F33&amp;" "&amp;M33&amp;" "&amp;O33),_xlfn.IFS(OR(IFERROR(SEARCH("diw",_xlpm.txt),0)&gt;0,IFERROR(SEARCH("cost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3" s="54" t="str" cm="1">
        <f t="array" ref="S33">_xlfn.LET(_xlpm.txt,LOWER(B33&amp;" "&amp;C33&amp;" "&amp;F33&amp;" "&amp;M33&amp;" "&amp;O33),_xlfn.IFS(IFERROR(SEARCH("diw",_xlpm.txt),0)&gt;0,"diw",IFERROR(SEARCH("cost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3" s="54" t="s">
        <v>48</v>
      </c>
    </row>
    <row r="34" spans="1:20" ht="42.75" hidden="1" x14ac:dyDescent="0.45">
      <c r="A34" s="54">
        <f>raw!A12</f>
        <v>10</v>
      </c>
      <c r="B34" s="54" t="str">
        <f>raw!B12</f>
        <v>Planner - Create Streamer / Edit Streamer</v>
      </c>
      <c r="C34" s="54" t="str">
        <f>raw!C12</f>
        <v>System</v>
      </c>
      <c r="D34" s="54" t="str">
        <f>raw!D12</f>
        <v>Must</v>
      </c>
      <c r="E34" s="54" t="str">
        <f>raw!E12</f>
        <v>None</v>
      </c>
      <c r="F34" s="54" t="str">
        <f>raw!F12</f>
        <v>Inconsistency of value "Retain", if the row added by user, system shows "Retain", if the row is recongnise by PDF, system show "RETAIN". Please update all to capital letter.</v>
      </c>
      <c r="G34" s="55">
        <f>raw!G12</f>
        <v>46098</v>
      </c>
      <c r="H34" s="54" t="str">
        <f>raw!H12</f>
        <v>Ray</v>
      </c>
      <c r="I34" s="54" t="str">
        <f>raw!I12</f>
        <v>Refer to Screen Capture</v>
      </c>
      <c r="J34" s="54" t="str">
        <f>raw!J12</f>
        <v>Bug</v>
      </c>
      <c r="K34" s="54" t="str">
        <f>raw!K12</f>
        <v>P4</v>
      </c>
      <c r="L34" s="54">
        <f>raw!L12</f>
        <v>0</v>
      </c>
      <c r="M34" s="54" t="str">
        <f>raw!M12</f>
        <v>Fixed</v>
      </c>
      <c r="N34" s="54">
        <f>raw!N12</f>
        <v>0</v>
      </c>
      <c r="O34" s="54" t="str">
        <f>raw!O12</f>
        <v>Low</v>
      </c>
      <c r="P34" s="54">
        <f>raw!P12</f>
        <v>0</v>
      </c>
      <c r="Q34" s="54" t="str">
        <f>raw!Q12</f>
        <v>Fixed</v>
      </c>
      <c r="R34" s="54" t="str" cm="1">
        <f t="array" ref="R34">_xlfn.LET(_xlpm.txt,LOWER(B34&amp;" "&amp;C34&amp;" "&amp;F34&amp;" "&amp;M34&amp;" "&amp;O34),_xlfn.IFS(OR(IFERROR(SEARCH("diw",_xlpm.txt),0)&gt;0,IFERROR(SEARCH("cost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4" s="54" t="str" cm="1">
        <f t="array" ref="S34">_xlfn.LET(_xlpm.txt,LOWER(B34&amp;" "&amp;C34&amp;" "&amp;F34&amp;" "&amp;M34&amp;" "&amp;O34),_xlfn.IFS(IFERROR(SEARCH("diw",_xlpm.txt),0)&gt;0,"diw",IFERROR(SEARCH("cost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4" s="54" t="s">
        <v>63</v>
      </c>
    </row>
    <row r="35" spans="1:20" ht="28.5" hidden="1" x14ac:dyDescent="0.45">
      <c r="A35" s="54">
        <f>raw!A13</f>
        <v>11</v>
      </c>
      <c r="B35" s="54" t="str">
        <f>raw!B13</f>
        <v>Engine Type List</v>
      </c>
      <c r="C35" s="54" t="str">
        <f>raw!C13</f>
        <v>UI</v>
      </c>
      <c r="D35" s="54" t="str">
        <f>raw!D13</f>
        <v>Should</v>
      </c>
      <c r="E35" s="54" t="str">
        <f>raw!E13</f>
        <v>None</v>
      </c>
      <c r="F35" s="54" t="str">
        <f>raw!F13</f>
        <v>Sort the engine type list in alphabetical sequence</v>
      </c>
      <c r="G35" s="55">
        <f>raw!G13</f>
        <v>46098</v>
      </c>
      <c r="H35" s="54" t="str">
        <f>raw!H13</f>
        <v>Ray</v>
      </c>
      <c r="I35" s="54" t="str">
        <f>raw!I13</f>
        <v>Refer to Screen Capture</v>
      </c>
      <c r="J35" s="54" t="str">
        <f>raw!J13</f>
        <v>Enhancement</v>
      </c>
      <c r="K35" s="54">
        <f>raw!K13</f>
        <v>0</v>
      </c>
      <c r="L35" s="54">
        <f>raw!L13</f>
        <v>0</v>
      </c>
      <c r="M35" s="54" t="str">
        <f>raw!M13</f>
        <v xml:space="preserve">Not a bug, to be addressed as new request </v>
      </c>
      <c r="N35" s="54">
        <f>raw!N13</f>
        <v>0</v>
      </c>
      <c r="O35" s="54" t="str">
        <f>raw!O13</f>
        <v>Low, fixed</v>
      </c>
      <c r="P35" s="54">
        <f>raw!P13</f>
        <v>0</v>
      </c>
      <c r="Q35" s="54" t="str">
        <f>raw!Q13</f>
        <v>Fixed</v>
      </c>
      <c r="R35" s="54" t="str" cm="1">
        <f t="array" ref="R35">_xlfn.LET(_xlpm.txt,LOWER(B35&amp;" "&amp;C35&amp;" "&amp;F35&amp;" "&amp;M35&amp;" "&amp;O35),_xlfn.IFS(OR(IFERROR(SEARCH("diw",_xlpm.txt),0)&gt;0,IFERROR(SEARCH("cost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5" s="54" t="str" cm="1">
        <f t="array" ref="S35">_xlfn.LET(_xlpm.txt,LOWER(B35&amp;" "&amp;C35&amp;" "&amp;F35&amp;" "&amp;M35&amp;" "&amp;O35),_xlfn.IFS(IFERROR(SEARCH("diw",_xlpm.txt),0)&gt;0,"diw",IFERROR(SEARCH("cost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5" s="54" t="s">
        <v>63</v>
      </c>
    </row>
    <row r="36" spans="1:20" ht="28.5" hidden="1" x14ac:dyDescent="0.45">
      <c r="A36" s="54">
        <f>raw!A22</f>
        <v>16</v>
      </c>
      <c r="B36" s="54" t="str">
        <f>raw!B22</f>
        <v>Input Type</v>
      </c>
      <c r="C36" s="54" t="str">
        <f>raw!C22</f>
        <v>UI</v>
      </c>
      <c r="D36" s="54" t="str">
        <f>raw!D22</f>
        <v>Should</v>
      </c>
      <c r="E36" s="54" t="str">
        <f>raw!E22</f>
        <v>None</v>
      </c>
      <c r="F36" s="54" t="str">
        <f>raw!F22</f>
        <v>Please update the default value to "Engine", currently is "Others". HAESL major business is "Engine".</v>
      </c>
      <c r="G36" s="55">
        <f>raw!G22</f>
        <v>46098</v>
      </c>
      <c r="H36" s="54" t="str">
        <f>raw!H22</f>
        <v>Ray</v>
      </c>
      <c r="I36" s="54" t="str">
        <f>raw!I22</f>
        <v>N/A</v>
      </c>
      <c r="J36" s="54" t="str">
        <f>raw!J22</f>
        <v>Enhancement</v>
      </c>
      <c r="K36" s="54">
        <f>raw!K22</f>
        <v>0</v>
      </c>
      <c r="L36" s="54">
        <f>raw!L22</f>
        <v>0</v>
      </c>
      <c r="M36" s="54" t="str">
        <f>raw!M22</f>
        <v>Changes to be done</v>
      </c>
      <c r="N36" s="54">
        <f>raw!N22</f>
        <v>0</v>
      </c>
      <c r="O36" s="54" t="str">
        <f>raw!O22</f>
        <v>Low, fixed</v>
      </c>
      <c r="P36" s="54">
        <f>raw!P22</f>
        <v>0</v>
      </c>
      <c r="Q36" s="54" t="str">
        <f>raw!Q22</f>
        <v>Fixed</v>
      </c>
      <c r="R36" s="54" t="str" cm="1">
        <f t="array" ref="R36">_xlfn.LET(_xlpm.txt,LOWER(B36&amp;" "&amp;C36&amp;" "&amp;F36&amp;" "&amp;M36&amp;" "&amp;O36),_xlfn.IFS(OR(IFERROR(SEARCH("diw",_xlpm.txt),0)&gt;0,IFERROR(SEARCH("cost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6" s="54" t="str" cm="1">
        <f t="array" ref="S36">_xlfn.LET(_xlpm.txt,LOWER(B36&amp;" "&amp;C36&amp;" "&amp;F36&amp;" "&amp;M36&amp;" "&amp;O36),_xlfn.IFS(IFERROR(SEARCH("diw",_xlpm.txt),0)&gt;0,"diw",IFERROR(SEARCH("cost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6" s="54" t="s">
        <v>63</v>
      </c>
    </row>
    <row r="37" spans="1:20" ht="28.5" hidden="1" x14ac:dyDescent="0.45">
      <c r="A37" s="54">
        <f>raw!A23</f>
        <v>17</v>
      </c>
      <c r="B37" s="54" t="str">
        <f>raw!B23</f>
        <v>System</v>
      </c>
      <c r="C37" s="54" t="str">
        <f>raw!C23</f>
        <v>System</v>
      </c>
      <c r="D37" s="54" t="str">
        <f>raw!D23</f>
        <v>Must</v>
      </c>
      <c r="E37" s="54" t="str">
        <f>raw!E23</f>
        <v>Bug</v>
      </c>
      <c r="F37" s="54" t="str">
        <f>raw!F23</f>
        <v>Unstable of system access, frequently time out/no response when access the system main page, active streamer page</v>
      </c>
      <c r="G37" s="55">
        <f>raw!G23</f>
        <v>46098</v>
      </c>
      <c r="H37" s="54" t="str">
        <f>raw!H23</f>
        <v>Ray</v>
      </c>
      <c r="I37" s="54" t="str">
        <f>raw!I23</f>
        <v>Refer to Screen Capture</v>
      </c>
      <c r="J37" s="54" t="str">
        <f>raw!J23</f>
        <v>Bug</v>
      </c>
      <c r="K37" s="54" t="str">
        <f>raw!K23</f>
        <v>P4</v>
      </c>
      <c r="L37" s="54">
        <f>raw!L23</f>
        <v>0</v>
      </c>
      <c r="M37" s="54" t="str">
        <f>raw!M23</f>
        <v>Need more details from HAESL on timeout duration and to be verified against NFR</v>
      </c>
      <c r="N37" s="54">
        <f>raw!N23</f>
        <v>0</v>
      </c>
      <c r="O37" s="54" t="str">
        <f>raw!O23</f>
        <v>high, operational risk</v>
      </c>
      <c r="P37" s="54">
        <f>raw!P23</f>
        <v>0</v>
      </c>
      <c r="Q37" s="54" t="str">
        <f>raw!Q23</f>
        <v>Not yet fix</v>
      </c>
      <c r="R37" s="54" t="str" cm="1">
        <f t="array" ref="R37">_xlfn.LET(_xlpm.txt,LOWER(B37&amp;" "&amp;C37&amp;" "&amp;F37&amp;" "&amp;M37&amp;" "&amp;O37),_xlfn.IFS(OR(IFERROR(SEARCH("diw",_xlpm.txt),0)&gt;0,IFERROR(SEARCH("cost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7" s="54" t="str" cm="1">
        <f t="array" ref="S37">_xlfn.LET(_xlpm.txt,LOWER(B37&amp;" "&amp;C37&amp;" "&amp;F37&amp;" "&amp;M37&amp;" "&amp;O37),_xlfn.IFS(IFERROR(SEARCH("diw",_xlpm.txt),0)&gt;0,"diw",IFERROR(SEARCH("cost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7" s="54" t="s">
        <v>465</v>
      </c>
    </row>
    <row r="38" spans="1:20" ht="28.5" hidden="1" x14ac:dyDescent="0.45">
      <c r="A38" s="54">
        <f>raw!A24</f>
        <v>18</v>
      </c>
      <c r="B38" s="54" t="str">
        <f>raw!B24</f>
        <v>System</v>
      </c>
      <c r="C38" s="54" t="str">
        <f>raw!C24</f>
        <v>System</v>
      </c>
      <c r="D38" s="54" t="str">
        <f>raw!D24</f>
        <v>Should</v>
      </c>
      <c r="E38" s="54" t="str">
        <f>raw!E24</f>
        <v>None</v>
      </c>
      <c r="F38" s="54" t="str">
        <f>raw!F24</f>
        <v>Please remove the "Overview" button if nothing was developed under this page</v>
      </c>
      <c r="G38" s="55">
        <f>raw!G24</f>
        <v>46098</v>
      </c>
      <c r="H38" s="54" t="str">
        <f>raw!H24</f>
        <v>Ray</v>
      </c>
      <c r="I38" s="54" t="str">
        <f>raw!I24</f>
        <v>Refer to Screen Capture</v>
      </c>
      <c r="J38" s="54" t="str">
        <f>raw!J24</f>
        <v>Enhancement</v>
      </c>
      <c r="K38" s="54">
        <f>raw!K24</f>
        <v>0</v>
      </c>
      <c r="L38" s="54">
        <f>raw!L24</f>
        <v>0</v>
      </c>
      <c r="M38" s="54" t="str">
        <f>raw!M24</f>
        <v>To be removed</v>
      </c>
      <c r="N38" s="54">
        <f>raw!N24</f>
        <v>0</v>
      </c>
      <c r="O38" s="54" t="str">
        <f>raw!O24</f>
        <v>Low, fixed</v>
      </c>
      <c r="P38" s="54">
        <f>raw!P24</f>
        <v>0</v>
      </c>
      <c r="Q38" s="54" t="str">
        <f>raw!Q24</f>
        <v>Fixed</v>
      </c>
      <c r="R38" s="54" t="str" cm="1">
        <f t="array" ref="R38">_xlfn.LET(_xlpm.txt,LOWER(B38&amp;" "&amp;C38&amp;" "&amp;F38&amp;" "&amp;M38&amp;" "&amp;O38),_xlfn.IFS(OR(IFERROR(SEARCH("diw",_xlpm.txt),0)&gt;0,IFERROR(SEARCH("cost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8" s="54" t="str" cm="1">
        <f t="array" ref="S38">_xlfn.LET(_xlpm.txt,LOWER(B38&amp;" "&amp;C38&amp;" "&amp;F38&amp;" "&amp;M38&amp;" "&amp;O38),_xlfn.IFS(IFERROR(SEARCH("diw",_xlpm.txt),0)&gt;0,"diw",IFERROR(SEARCH("cost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8" s="54" t="s">
        <v>63</v>
      </c>
    </row>
    <row r="39" spans="1:20" ht="71.25" hidden="1" x14ac:dyDescent="0.45">
      <c r="A39" s="54">
        <f>raw!A25</f>
        <v>19</v>
      </c>
      <c r="B39" s="54" t="str">
        <f>raw!B25</f>
        <v>Admin - Template Management</v>
      </c>
      <c r="C39" s="54" t="str">
        <f>raw!C25</f>
        <v>System</v>
      </c>
      <c r="D39" s="54" t="str">
        <f>raw!D25</f>
        <v>Must</v>
      </c>
      <c r="E39" s="54" t="str">
        <f>raw!E25</f>
        <v>Bug</v>
      </c>
      <c r="F39" s="54" t="str">
        <f>_xlfn.TEXTJOIN(CHAR(10),TRUE,raw!F25:F26)</f>
        <v>When two users edit the same template and press save, system will create two templates with the same name. If we delete either one of them, both of the template will be deleted. Could the system lock the template if it is being edit to solve this problem?
Co-edit issue</v>
      </c>
      <c r="G39" s="55">
        <f>raw!G25</f>
        <v>46098</v>
      </c>
      <c r="H39" s="54" t="str">
        <f>raw!H25</f>
        <v>Edmond</v>
      </c>
      <c r="I39" s="54" t="str">
        <f>raw!I25</f>
        <v>Refer to Screen Capture</v>
      </c>
      <c r="J39" s="54" t="str">
        <f>raw!J25</f>
        <v>Bug</v>
      </c>
      <c r="K39" s="54" t="str">
        <f>raw!K25</f>
        <v>P4</v>
      </c>
      <c r="L39" s="54">
        <f>raw!L25</f>
        <v>0</v>
      </c>
      <c r="M39" s="54" t="str">
        <f>_xlfn.TEXTJOIN(CHAR(10),TRUE,raw!M25:M26)</f>
        <v>Needs to be addressed</v>
      </c>
      <c r="N39" s="54">
        <f>raw!N25</f>
        <v>0</v>
      </c>
      <c r="O39" s="54" t="str">
        <f>_xlfn.TEXTJOIN(CHAR(10),TRUE,raw!O25:O26)</f>
        <v>high, bug</v>
      </c>
      <c r="P39" s="54">
        <f>raw!P25</f>
        <v>0</v>
      </c>
      <c r="Q39" s="54" t="str">
        <f>raw!Q25</f>
        <v>Not yet fix</v>
      </c>
      <c r="R39" s="54" t="str" cm="1">
        <f t="array" ref="R39">_xlfn.LET(_xlpm.txt,LOWER(B39&amp;" "&amp;C39&amp;" "&amp;F39&amp;" "&amp;M39&amp;" "&amp;O39),_xlfn.IFS(OR(IFERROR(SEARCH("diw",_xlpm.txt),0)&gt;0,IFERROR(SEARCH("cost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39" s="54" t="str" cm="1">
        <f t="array" ref="S39">_xlfn.LET(_xlpm.txt,LOWER(B39&amp;" "&amp;C39&amp;" "&amp;F39&amp;" "&amp;M39&amp;" "&amp;O39),_xlfn.IFS(IFERROR(SEARCH("diw",_xlpm.txt),0)&gt;0,"diw",IFERROR(SEARCH("cost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39" s="54" t="s">
        <v>465</v>
      </c>
    </row>
    <row r="40" spans="1:20" ht="28.5" hidden="1" x14ac:dyDescent="0.45">
      <c r="A40" s="54">
        <f>raw!A43</f>
        <v>35</v>
      </c>
      <c r="B40" s="54" t="str">
        <f>raw!B43</f>
        <v>Streamer - Induction update</v>
      </c>
      <c r="C40" s="54" t="str">
        <f>raw!C43</f>
        <v>System</v>
      </c>
      <c r="D40" s="54" t="str">
        <f>raw!D43</f>
        <v>Must</v>
      </c>
      <c r="E40" s="54" t="str">
        <f>raw!E43</f>
        <v>Bug</v>
      </c>
      <c r="F40" s="54" t="str">
        <f>raw!F43</f>
        <v>On the streamer page, the induction date shows 19 Mar, which does not match the edit page showing 12 Mar.</v>
      </c>
      <c r="G40" s="55">
        <f>raw!G43</f>
        <v>46099</v>
      </c>
      <c r="H40" s="54" t="str">
        <f>raw!H43</f>
        <v>Edmond</v>
      </c>
      <c r="I40" s="54" t="str">
        <f>raw!I43</f>
        <v>Refer to Screen Capture</v>
      </c>
      <c r="J40" s="54" t="str">
        <f>raw!J43</f>
        <v>Bug</v>
      </c>
      <c r="K40" s="54" t="str">
        <f>raw!K43</f>
        <v>P4</v>
      </c>
      <c r="L40" s="54">
        <f>raw!L43</f>
        <v>0</v>
      </c>
      <c r="M40" s="54" t="str">
        <f>raw!M43</f>
        <v>Needs to be addressed</v>
      </c>
      <c r="N40" s="54">
        <f>raw!N43</f>
        <v>0</v>
      </c>
      <c r="O40" s="54" t="str">
        <f>raw!O43</f>
        <v>high, fixed</v>
      </c>
      <c r="P40" s="54">
        <f>raw!P43</f>
        <v>0</v>
      </c>
      <c r="Q40" s="54" t="str">
        <f>raw!Q43</f>
        <v>Fixed</v>
      </c>
      <c r="R40" s="54" t="str" cm="1">
        <f t="array" ref="R40">_xlfn.LET(_xlpm.txt,LOWER(B40&amp;" "&amp;C40&amp;" "&amp;F40&amp;" "&amp;M40&amp;" "&amp;O40),_xlfn.IFS(OR(IFERROR(SEARCH("diw",_xlpm.txt),0)&gt;0,IFERROR(SEARCH("cost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0" s="54" t="str" cm="1">
        <f t="array" ref="S40">_xlfn.LET(_xlpm.txt,LOWER(B40&amp;" "&amp;C40&amp;" "&amp;F40&amp;" "&amp;M40&amp;" "&amp;O40),_xlfn.IFS(IFERROR(SEARCH("diw",_xlpm.txt),0)&gt;0,"diw",IFERROR(SEARCH("cost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0" s="54" t="s">
        <v>465</v>
      </c>
    </row>
    <row r="41" spans="1:20" ht="71.25" hidden="1" x14ac:dyDescent="0.45">
      <c r="A41" s="54">
        <f>raw!A44</f>
        <v>36</v>
      </c>
      <c r="B41" s="54" t="str">
        <f>raw!B44</f>
        <v>Planner - Create Streamer / Edit Streamer</v>
      </c>
      <c r="C41" s="54" t="str">
        <f>raw!C44</f>
        <v>System</v>
      </c>
      <c r="D41" s="54" t="str">
        <f>raw!D44</f>
        <v>Must</v>
      </c>
      <c r="E41" s="54" t="str">
        <f>raw!E44</f>
        <v>None</v>
      </c>
      <c r="F41" s="54" t="str">
        <f>_xlfn.TEXTJOIN(CHAR(10),TRUE,raw!F44:F45)</f>
        <v>1.If I press the selection box for module 31 and then press the selection box for module 32, the selection boxes for M31 &amp; M32 will keep showing up
2. Selection box is too small, need to waste time to find the choice, if i click the selection box it can show all options, that will be better.</v>
      </c>
      <c r="G41" s="55">
        <f>raw!G44</f>
        <v>46099</v>
      </c>
      <c r="H41" s="54" t="str">
        <f>raw!H44</f>
        <v>Ming</v>
      </c>
      <c r="I41" s="54" t="str">
        <f>raw!I44</f>
        <v>Refer to Screen Capture</v>
      </c>
      <c r="J41" s="54" t="str">
        <f>raw!J44</f>
        <v>Enhancement</v>
      </c>
      <c r="K41" s="54">
        <f>raw!K44</f>
        <v>0</v>
      </c>
      <c r="L41" s="54">
        <f>raw!L44</f>
        <v>0</v>
      </c>
      <c r="M41" s="54" t="str">
        <f>_xlfn.TEXTJOIN(CHAR(10),TRUE,raw!M44:M45)</f>
        <v>All modules to be shown as per screenshot, @Ray to confirm the change</v>
      </c>
      <c r="N41" s="54">
        <f>raw!N44</f>
        <v>0</v>
      </c>
      <c r="O41" s="54" t="str">
        <f>_xlfn.TEXTJOIN(CHAR(10),TRUE,raw!O44:O45)</f>
        <v>medium, fixed</v>
      </c>
      <c r="P41" s="54">
        <f>raw!P44</f>
        <v>0</v>
      </c>
      <c r="Q41" s="54" t="str">
        <f>raw!Q44</f>
        <v>Fixed</v>
      </c>
      <c r="R41" s="54" t="str" cm="1">
        <f t="array" ref="R41">_xlfn.LET(_xlpm.txt,LOWER(B41&amp;" "&amp;C41&amp;" "&amp;F41&amp;" "&amp;M41&amp;" "&amp;O41),_xlfn.IFS(OR(IFERROR(SEARCH("diw",_xlpm.txt),0)&gt;0,IFERROR(SEARCH("cost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1" s="54" t="str" cm="1">
        <f t="array" ref="S41">_xlfn.LET(_xlpm.txt,LOWER(B41&amp;" "&amp;C41&amp;" "&amp;F41&amp;" "&amp;M41&amp;" "&amp;O41),_xlfn.IFS(IFERROR(SEARCH("diw",_xlpm.txt),0)&gt;0,"diw",IFERROR(SEARCH("cost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1" s="54" t="s">
        <v>466</v>
      </c>
    </row>
    <row r="42" spans="1:20" ht="28.5" hidden="1" x14ac:dyDescent="0.45">
      <c r="A42" s="54">
        <f>raw!A47</f>
        <v>38</v>
      </c>
      <c r="B42" s="54" t="str">
        <f>raw!B47</f>
        <v>Admin - Template Edit /</v>
      </c>
      <c r="C42" s="54" t="str">
        <f>raw!C47</f>
        <v>UI</v>
      </c>
      <c r="D42" s="54" t="str">
        <f>raw!D47</f>
        <v>Must</v>
      </c>
      <c r="E42" s="54" t="str">
        <f>raw!E47</f>
        <v>rework</v>
      </c>
      <c r="F42" s="54" t="str">
        <f>_xlfn.TEXTJOIN(CHAR(10),TRUE,raw!F47:F48)</f>
        <v>Content and header is not aligned
Duplicated, Refer to #7</v>
      </c>
      <c r="G42" s="55">
        <f>raw!G47</f>
        <v>46099</v>
      </c>
      <c r="H42" s="54" t="str">
        <f>raw!H47</f>
        <v>Chris</v>
      </c>
      <c r="I42" s="54">
        <f>raw!I47</f>
        <v>0</v>
      </c>
      <c r="J42" s="54" t="str">
        <f>raw!J47</f>
        <v>Bug</v>
      </c>
      <c r="K42" s="54" t="str">
        <f>raw!K47</f>
        <v>P4</v>
      </c>
      <c r="L42" s="54">
        <f>raw!L47</f>
        <v>0</v>
      </c>
      <c r="M42" s="54" t="str">
        <f>_xlfn.TEXTJOIN(CHAR(10),TRUE,raw!M47:M48)</f>
        <v>Known issue, Raised with Syncfusion and is pending fix</v>
      </c>
      <c r="N42" s="54">
        <f>raw!N47</f>
        <v>0</v>
      </c>
      <c r="O42" s="54" t="str">
        <f>_xlfn.TEXTJOIN(CHAR(10),TRUE,raw!O47:O48)</f>
        <v>Low, not yet fixed</v>
      </c>
      <c r="P42" s="54">
        <f>raw!P47</f>
        <v>0</v>
      </c>
      <c r="Q42" s="54" t="str">
        <f>raw!Q47</f>
        <v>Not yet fix</v>
      </c>
      <c r="R42" s="54" t="str" cm="1">
        <f t="array" ref="R42">_xlfn.LET(_xlpm.txt,LOWER(B42&amp;" "&amp;C42&amp;" "&amp;F42&amp;" "&amp;M42&amp;" "&amp;O42),_xlfn.IFS(OR(IFERROR(SEARCH("diw",_xlpm.txt),0)&gt;0,IFERROR(SEARCH("cost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2" s="54" t="str" cm="1">
        <f t="array" ref="S42">_xlfn.LET(_xlpm.txt,LOWER(B42&amp;" "&amp;C42&amp;" "&amp;F42&amp;" "&amp;M42&amp;" "&amp;O42),_xlfn.IFS(IFERROR(SEARCH("diw",_xlpm.txt),0)&gt;0,"diw",IFERROR(SEARCH("cost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2" s="54" t="s">
        <v>63</v>
      </c>
    </row>
    <row r="43" spans="1:20" ht="28.5" hidden="1" x14ac:dyDescent="0.45">
      <c r="A43" s="54">
        <f>raw!A49</f>
        <v>39</v>
      </c>
      <c r="B43" s="54" t="str">
        <f>raw!B49</f>
        <v>Planner - Menu Side Bar</v>
      </c>
      <c r="C43" s="54" t="str">
        <f>raw!C49</f>
        <v>UI</v>
      </c>
      <c r="D43" s="54" t="str">
        <f>raw!D49</f>
        <v>Must</v>
      </c>
      <c r="E43" s="54" t="str">
        <f>raw!E49</f>
        <v>Bug</v>
      </c>
      <c r="F43" s="54" t="str">
        <f>raw!F49</f>
        <v>The label by the hover effect on the menu button is blocked for the button navigation</v>
      </c>
      <c r="G43" s="55">
        <f>raw!G49</f>
        <v>46099</v>
      </c>
      <c r="H43" s="54" t="str">
        <f>raw!H49</f>
        <v>Chris</v>
      </c>
      <c r="I43" s="54">
        <f>raw!I49</f>
        <v>0</v>
      </c>
      <c r="J43" s="54" t="str">
        <f>raw!J49</f>
        <v>Bug</v>
      </c>
      <c r="K43" s="54" t="str">
        <f>raw!K49</f>
        <v>P4</v>
      </c>
      <c r="L43" s="54">
        <f>raw!L49</f>
        <v>0</v>
      </c>
      <c r="M43" s="54" t="str">
        <f>raw!M49</f>
        <v>Move the hover text to the side</v>
      </c>
      <c r="N43" s="54">
        <f>raw!N49</f>
        <v>0</v>
      </c>
      <c r="O43" s="54" t="str">
        <f>raw!O49</f>
        <v>low, fixed</v>
      </c>
      <c r="P43" s="54">
        <f>raw!P49</f>
        <v>0</v>
      </c>
      <c r="Q43" s="54" t="str">
        <f>raw!Q49</f>
        <v>Fixed</v>
      </c>
      <c r="R43" s="54" t="str" cm="1">
        <f t="array" ref="R43">_xlfn.LET(_xlpm.txt,LOWER(B43&amp;" "&amp;C43&amp;" "&amp;F43&amp;" "&amp;M43&amp;" "&amp;O43),_xlfn.IFS(OR(IFERROR(SEARCH("diw",_xlpm.txt),0)&gt;0,IFERROR(SEARCH("cost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3" s="54" t="str" cm="1">
        <f t="array" ref="S43">_xlfn.LET(_xlpm.txt,LOWER(B43&amp;" "&amp;C43&amp;" "&amp;F43&amp;" "&amp;M43&amp;" "&amp;O43),_xlfn.IFS(IFERROR(SEARCH("diw",_xlpm.txt),0)&gt;0,"diw",IFERROR(SEARCH("cost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3" s="54" t="s">
        <v>467</v>
      </c>
    </row>
    <row r="44" spans="1:20" ht="42.75" hidden="1" x14ac:dyDescent="0.45">
      <c r="A44" s="54">
        <f>raw!A58</f>
        <v>44</v>
      </c>
      <c r="B44" s="54" t="str">
        <f>raw!B58</f>
        <v>Planner -&gt; Streamer -&gt;  Active Steamers</v>
      </c>
      <c r="C44" s="54" t="str">
        <f>raw!C58</f>
        <v>System</v>
      </c>
      <c r="D44" s="54" t="str">
        <f>raw!D58</f>
        <v>Must</v>
      </c>
      <c r="E44" s="54" t="str">
        <f>raw!E58</f>
        <v>Bug</v>
      </c>
      <c r="F44" s="54" t="str">
        <f>_xlfn.TEXTJOIN(CHAR(10),TRUE,raw!F58:F60)</f>
        <v>1. I entered the induction date as 03 Mar 2026; however, it is displaying as 23 Feb 2026. Please advise if incorrect data was entered.
2. The induction date cannot be amended to 03 Mar 2026.</v>
      </c>
      <c r="G44" s="55">
        <f>raw!G58</f>
        <v>46100</v>
      </c>
      <c r="H44" s="54" t="str">
        <f>raw!H58</f>
        <v>Ricky</v>
      </c>
      <c r="I44" s="54" t="str">
        <f>raw!I58</f>
        <v>Refer to Screen Capture</v>
      </c>
      <c r="J44" s="54" t="str">
        <f>raw!J58</f>
        <v>Bug</v>
      </c>
      <c r="K44" s="54" t="str">
        <f>raw!K58</f>
        <v>P3</v>
      </c>
      <c r="L44" s="54">
        <f>raw!L58</f>
        <v>0</v>
      </c>
      <c r="M44" s="54" t="str">
        <f>_xlfn.TEXTJOIN(CHAR(10),TRUE,raw!M58:M60)</f>
        <v/>
      </c>
      <c r="N44" s="54">
        <f>raw!N58</f>
        <v>0</v>
      </c>
      <c r="O44" s="54" t="str">
        <f>_xlfn.TEXTJOIN(CHAR(10),TRUE,raw!O58:O60)</f>
        <v>high. Fixed</v>
      </c>
      <c r="P44" s="54">
        <f>raw!P58</f>
        <v>0</v>
      </c>
      <c r="Q44" s="54" t="str">
        <f>raw!Q58</f>
        <v>Fixed</v>
      </c>
      <c r="R44" s="54" t="str" cm="1">
        <f t="array" ref="R44">_xlfn.LET(_xlpm.txt,LOWER(B44&amp;" "&amp;C44&amp;" "&amp;F44&amp;" "&amp;M44&amp;" "&amp;O44),_xlfn.IFS(OR(IFERROR(SEARCH("diw",_xlpm.txt),0)&gt;0,IFERROR(SEARCH("cost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4" s="54" t="str" cm="1">
        <f t="array" ref="S44">_xlfn.LET(_xlpm.txt,LOWER(B44&amp;" "&amp;C44&amp;" "&amp;F44&amp;" "&amp;M44&amp;" "&amp;O44),_xlfn.IFS(IFERROR(SEARCH("diw",_xlpm.txt),0)&gt;0,"diw",IFERROR(SEARCH("cost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4" s="54" t="s">
        <v>167</v>
      </c>
    </row>
    <row r="45" spans="1:20" ht="57" hidden="1" x14ac:dyDescent="0.45">
      <c r="A45" s="54">
        <f>raw!A61</f>
        <v>45</v>
      </c>
      <c r="B45" s="54" t="str">
        <f>raw!B61</f>
        <v>Planner -&gt; Streamer -&gt;  Create Streamer</v>
      </c>
      <c r="C45" s="54" t="str">
        <f>raw!C61</f>
        <v>System</v>
      </c>
      <c r="D45" s="54" t="str">
        <f>raw!D61</f>
        <v>Must</v>
      </c>
      <c r="E45" s="54" t="str">
        <f>raw!E61</f>
        <v>Bug</v>
      </c>
      <c r="F45" s="54" t="str">
        <f>_xlfn.TEXTJOIN(CHAR(10),TRUE,raw!F61:F65)</f>
        <v>Module Set → Sales Order:
Unable to display multiple Sales Orders (S/Os).
Please confirm whether “Trent 1000” is represented as “Trent 100 TEN” in the workscope.</v>
      </c>
      <c r="G45" s="55">
        <f>raw!G61</f>
        <v>46100</v>
      </c>
      <c r="H45" s="54" t="str">
        <f>raw!H61</f>
        <v>Ricky</v>
      </c>
      <c r="I45" s="54" t="str">
        <f>raw!I61</f>
        <v>Refer to Screen Capture</v>
      </c>
      <c r="J45" s="54">
        <f>raw!J61</f>
        <v>0</v>
      </c>
      <c r="K45" s="54">
        <f>raw!K61</f>
        <v>0</v>
      </c>
      <c r="L45" s="54">
        <f>raw!L61</f>
        <v>0</v>
      </c>
      <c r="M45" s="54" t="str">
        <f>_xlfn.TEXTJOIN(CHAR(10),TRUE,raw!M61:M65)</f>
        <v/>
      </c>
      <c r="N45" s="54">
        <f>raw!N61</f>
        <v>0</v>
      </c>
      <c r="O45" s="54" t="str">
        <f>_xlfn.TEXTJOIN(CHAR(10),TRUE,raw!O61:O65)</f>
        <v>Removed</v>
      </c>
      <c r="P45" s="54">
        <f>raw!P61</f>
        <v>0</v>
      </c>
      <c r="Q45" s="54" t="str">
        <f>raw!Q61</f>
        <v>Closed</v>
      </c>
      <c r="R45" s="54" t="str" cm="1">
        <f t="array" ref="R45">_xlfn.LET(_xlpm.txt,LOWER(B45&amp;" "&amp;C45&amp;" "&amp;F45&amp;" "&amp;M45&amp;" "&amp;O45),_xlfn.IFS(OR(IFERROR(SEARCH("diw",_xlpm.txt),0)&gt;0,IFERROR(SEARCH("cost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5" s="54" t="str" cm="1">
        <f t="array" ref="S45">_xlfn.LET(_xlpm.txt,LOWER(B45&amp;" "&amp;C45&amp;" "&amp;F45&amp;" "&amp;M45&amp;" "&amp;O45),_xlfn.IFS(IFERROR(SEARCH("diw",_xlpm.txt),0)&gt;0,"diw",IFERROR(SEARCH("cost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5" s="54" t="s">
        <v>59</v>
      </c>
    </row>
    <row r="46" spans="1:20" ht="28.5" hidden="1" x14ac:dyDescent="0.45">
      <c r="A46" s="54">
        <f>raw!A66</f>
        <v>46</v>
      </c>
      <c r="B46" s="54" t="str">
        <f>raw!B66</f>
        <v>Planner -&gt; Streamer -&gt;  Create Streamer</v>
      </c>
      <c r="C46" s="54" t="str">
        <f>raw!C66</f>
        <v>System</v>
      </c>
      <c r="D46" s="54" t="str">
        <f>raw!D66</f>
        <v>Must</v>
      </c>
      <c r="E46" s="54" t="str">
        <f>raw!E66</f>
        <v>Bug</v>
      </c>
      <c r="F46" s="54" t="str">
        <f>raw!F66</f>
        <v>Why can duplicate Sales Orders (S/Os) be displayed?</v>
      </c>
      <c r="G46" s="55">
        <f>raw!G66</f>
        <v>46100</v>
      </c>
      <c r="H46" s="54" t="str">
        <f>raw!H66</f>
        <v>Ricky</v>
      </c>
      <c r="I46" s="54" t="str">
        <f>raw!I66</f>
        <v>Refer to Screen Capture</v>
      </c>
      <c r="J46" s="54">
        <f>raw!J66</f>
        <v>0</v>
      </c>
      <c r="K46" s="54">
        <f>raw!K66</f>
        <v>0</v>
      </c>
      <c r="L46" s="54">
        <f>raw!L66</f>
        <v>0</v>
      </c>
      <c r="M46" s="54">
        <f>raw!M66</f>
        <v>0</v>
      </c>
      <c r="N46" s="54">
        <f>raw!N66</f>
        <v>0</v>
      </c>
      <c r="O46" s="54" t="str">
        <f>raw!O66</f>
        <v>Removed</v>
      </c>
      <c r="P46" s="54">
        <f>raw!P66</f>
        <v>0</v>
      </c>
      <c r="Q46" s="54" t="str">
        <f>raw!Q66</f>
        <v>Closed</v>
      </c>
      <c r="R46" s="54" t="str" cm="1">
        <f t="array" ref="R46">_xlfn.LET(_xlpm.txt,LOWER(B46&amp;" "&amp;C46&amp;" "&amp;F46&amp;" "&amp;M46&amp;" "&amp;O46),_xlfn.IFS(OR(IFERROR(SEARCH("diw",_xlpm.txt),0)&gt;0,IFERROR(SEARCH("cost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6" s="54" t="str" cm="1">
        <f t="array" ref="S46">_xlfn.LET(_xlpm.txt,LOWER(B46&amp;" "&amp;C46&amp;" "&amp;F46&amp;" "&amp;M46&amp;" "&amp;O46),_xlfn.IFS(IFERROR(SEARCH("diw",_xlpm.txt),0)&gt;0,"diw",IFERROR(SEARCH("cost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6" s="54" t="s">
        <v>59</v>
      </c>
    </row>
    <row r="47" spans="1:20" ht="57" hidden="1" x14ac:dyDescent="0.45">
      <c r="A47" s="54">
        <f>raw!A67</f>
        <v>47</v>
      </c>
      <c r="B47" s="54" t="str">
        <f>raw!B67</f>
        <v>Planner -&gt; Streamer -&gt;  Create Streamer</v>
      </c>
      <c r="C47" s="54" t="str">
        <f>raw!C67</f>
        <v>System</v>
      </c>
      <c r="D47" s="54" t="str">
        <f>raw!D67</f>
        <v>Must</v>
      </c>
      <c r="E47" s="54" t="str">
        <f>raw!E67</f>
        <v>Bug</v>
      </c>
      <c r="F47" s="54" t="str">
        <f>_xlfn.TEXTJOIN(CHAR(10),TRUE,raw!F67:F68)</f>
        <v>Issue: When creating Module M33 only, the system still displays other modules in the result/list view.
Note: A valid template is in use; therefore, this issue is unlikely to be template‑related.</v>
      </c>
      <c r="G47" s="55">
        <f>raw!G67</f>
        <v>46100</v>
      </c>
      <c r="H47" s="54" t="str">
        <f>raw!H67</f>
        <v>Ricky</v>
      </c>
      <c r="I47" s="54" t="str">
        <f>raw!I67</f>
        <v>Refer to Screen Capture</v>
      </c>
      <c r="J47" s="54">
        <f>raw!J67</f>
        <v>0</v>
      </c>
      <c r="K47" s="54">
        <f>raw!K67</f>
        <v>0</v>
      </c>
      <c r="L47" s="54">
        <f>raw!L67</f>
        <v>0</v>
      </c>
      <c r="M47" s="54" t="str">
        <f>_xlfn.TEXTJOIN(CHAR(10),TRUE,raw!M67:M68)</f>
        <v/>
      </c>
      <c r="N47" s="54">
        <f>raw!N67</f>
        <v>0</v>
      </c>
      <c r="O47" s="54" t="str">
        <f>_xlfn.TEXTJOIN(CHAR(10),TRUE,raw!O67:O68)</f>
        <v>Removed</v>
      </c>
      <c r="P47" s="54">
        <f>raw!P67</f>
        <v>0</v>
      </c>
      <c r="Q47" s="54" t="str">
        <f>raw!Q67</f>
        <v>Closed</v>
      </c>
      <c r="R47" s="54" t="str" cm="1">
        <f t="array" ref="R47">_xlfn.LET(_xlpm.txt,LOWER(B47&amp;" "&amp;C47&amp;" "&amp;F47&amp;" "&amp;M47&amp;" "&amp;O47),_xlfn.IFS(OR(IFERROR(SEARCH("diw",_xlpm.txt),0)&gt;0,IFERROR(SEARCH("cost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7" s="54" t="str" cm="1">
        <f t="array" ref="S47">_xlfn.LET(_xlpm.txt,LOWER(B47&amp;" "&amp;C47&amp;" "&amp;F47&amp;" "&amp;M47&amp;" "&amp;O47),_xlfn.IFS(IFERROR(SEARCH("diw",_xlpm.txt),0)&gt;0,"diw",IFERROR(SEARCH("cost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7" s="54" t="s">
        <v>59</v>
      </c>
    </row>
    <row r="48" spans="1:20" ht="42.75" hidden="1" x14ac:dyDescent="0.45">
      <c r="A48" s="54">
        <f>raw!A69</f>
        <v>48</v>
      </c>
      <c r="B48" s="54" t="str">
        <f>raw!B69</f>
        <v>Active Streamer &gt; Edit Streamer</v>
      </c>
      <c r="C48" s="54" t="str">
        <f>raw!C69</f>
        <v>System</v>
      </c>
      <c r="D48" s="54" t="str">
        <f>raw!D69</f>
        <v>Must</v>
      </c>
      <c r="E48" s="54" t="str">
        <f>raw!E69</f>
        <v>Bug</v>
      </c>
      <c r="F48" s="54" t="str">
        <f>_xlfn.TEXTJOIN(CHAR(10),TRUE,raw!F69:F70)</f>
        <v>Module still in the streamer after remove it in the edit mode and save if the module already removed in the admin setting.</v>
      </c>
      <c r="G48" s="55">
        <f>raw!G69</f>
        <v>46100</v>
      </c>
      <c r="H48" s="54" t="str">
        <f>raw!H69</f>
        <v>Ray</v>
      </c>
      <c r="I48" s="54" t="str">
        <f>raw!I69</f>
        <v>N/A</v>
      </c>
      <c r="J48" s="54" t="str">
        <f>raw!J69</f>
        <v>Bug</v>
      </c>
      <c r="K48" s="54" t="str">
        <f>raw!K69</f>
        <v>P3</v>
      </c>
      <c r="L48" s="54">
        <f>raw!L69</f>
        <v>0</v>
      </c>
      <c r="M48" s="54" t="str">
        <f>_xlfn.TEXTJOIN(CHAR(10),TRUE,raw!M69:M70)</f>
        <v>Not clear, please provide steps and additional details
@Ray</v>
      </c>
      <c r="N48" s="54">
        <f>raw!N69</f>
        <v>0</v>
      </c>
      <c r="O48" s="54" t="str">
        <f>_xlfn.TEXTJOIN(CHAR(10),TRUE,raw!O69:O70)</f>
        <v>Removed</v>
      </c>
      <c r="P48" s="54">
        <f>raw!P69</f>
        <v>0</v>
      </c>
      <c r="Q48" s="54" t="str">
        <f>raw!Q69</f>
        <v>Closed</v>
      </c>
      <c r="R48" s="54" t="str" cm="1">
        <f t="array" ref="R48">_xlfn.LET(_xlpm.txt,LOWER(B48&amp;" "&amp;C48&amp;" "&amp;F48&amp;" "&amp;M48&amp;" "&amp;O48),_xlfn.IFS(OR(IFERROR(SEARCH("diw",_xlpm.txt),0)&gt;0,IFERROR(SEARCH("cost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8" s="54" t="str" cm="1">
        <f t="array" ref="S48">_xlfn.LET(_xlpm.txt,LOWER(B48&amp;" "&amp;C48&amp;" "&amp;F48&amp;" "&amp;M48&amp;" "&amp;O48),_xlfn.IFS(IFERROR(SEARCH("diw",_xlpm.txt),0)&gt;0,"diw",IFERROR(SEARCH("cost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8" s="54" t="s">
        <v>59</v>
      </c>
    </row>
    <row r="49" spans="1:20" ht="28.5" hidden="1" x14ac:dyDescent="0.45">
      <c r="A49" s="54">
        <f>raw!A74</f>
        <v>52</v>
      </c>
      <c r="B49" s="54" t="str">
        <f>raw!B74</f>
        <v>Planner &gt; Streamers</v>
      </c>
      <c r="C49" s="54" t="str">
        <f>raw!C74</f>
        <v>System</v>
      </c>
      <c r="D49" s="54" t="str">
        <f>raw!D74</f>
        <v>Should</v>
      </c>
      <c r="E49" s="54" t="str">
        <f>raw!E74</f>
        <v>Rework</v>
      </c>
      <c r="F49" s="54" t="str">
        <f>raw!F74</f>
        <v>the user just want to cancel one of the filter fields but only one button to "Clear All"</v>
      </c>
      <c r="G49" s="55">
        <f>raw!G74</f>
        <v>46100</v>
      </c>
      <c r="H49" s="54" t="str">
        <f>raw!H74</f>
        <v>Chris</v>
      </c>
      <c r="I49" s="54">
        <f>raw!I74</f>
        <v>0</v>
      </c>
      <c r="J49" s="54" t="str">
        <f>raw!J74</f>
        <v>Enhancement</v>
      </c>
      <c r="K49" s="54">
        <f>raw!K74</f>
        <v>0</v>
      </c>
      <c r="L49" s="54">
        <f>raw!L74</f>
        <v>0</v>
      </c>
      <c r="M49" s="54" t="str">
        <f>raw!M74</f>
        <v>Currently as per requirement, Please details if any modification required</v>
      </c>
      <c r="N49" s="54">
        <f>raw!N74</f>
        <v>0</v>
      </c>
      <c r="O49" s="54" t="str">
        <f>raw!O74</f>
        <v>low, performance issue</v>
      </c>
      <c r="P49" s="54">
        <f>raw!P74</f>
        <v>0</v>
      </c>
      <c r="Q49" s="54" t="str">
        <f>raw!Q74</f>
        <v>Not yet fix</v>
      </c>
      <c r="R49" s="54" t="str" cm="1">
        <f t="array" ref="R49">_xlfn.LET(_xlpm.txt,LOWER(B49&amp;" "&amp;C49&amp;" "&amp;F49&amp;" "&amp;M49&amp;" "&amp;O49),_xlfn.IFS(OR(IFERROR(SEARCH("diw",_xlpm.txt),0)&gt;0,IFERROR(SEARCH("cost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49" s="54" t="str" cm="1">
        <f t="array" ref="S49">_xlfn.LET(_xlpm.txt,LOWER(B49&amp;" "&amp;C49&amp;" "&amp;F49&amp;" "&amp;M49&amp;" "&amp;O49),_xlfn.IFS(IFERROR(SEARCH("diw",_xlpm.txt),0)&gt;0,"diw",IFERROR(SEARCH("cost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49" s="54" t="s">
        <v>467</v>
      </c>
    </row>
    <row r="50" spans="1:20" ht="28.5" hidden="1" x14ac:dyDescent="0.45">
      <c r="A50" s="54">
        <f>raw!A75</f>
        <v>53</v>
      </c>
      <c r="B50" s="54" t="str">
        <f>raw!B75</f>
        <v>Edit Streamer</v>
      </c>
      <c r="C50" s="54" t="str">
        <f>raw!C75</f>
        <v>System</v>
      </c>
      <c r="D50" s="54" t="str">
        <f>raw!D75</f>
        <v>Must</v>
      </c>
      <c r="E50" s="54" t="str">
        <f>raw!E75</f>
        <v>Bug</v>
      </c>
      <c r="F50" s="54" t="str">
        <f>raw!F75</f>
        <v>Engine/Module Set multiple sales order for each module, when user edit the streamer all sales order in module become the same sales order</v>
      </c>
      <c r="G50" s="55">
        <f>raw!G75</f>
        <v>46100</v>
      </c>
      <c r="H50" s="54" t="str">
        <f>raw!H75</f>
        <v>Ray</v>
      </c>
      <c r="I50" s="54" t="str">
        <f>raw!I75</f>
        <v>Refer to Screen Capture</v>
      </c>
      <c r="J50" s="54" t="str">
        <f>raw!J75</f>
        <v>Bug</v>
      </c>
      <c r="K50" s="54" t="str">
        <f>raw!K75</f>
        <v>P3</v>
      </c>
      <c r="L50" s="54">
        <f>raw!L75</f>
        <v>0</v>
      </c>
      <c r="M50" s="54" t="str">
        <f>raw!M75</f>
        <v>Fixed</v>
      </c>
      <c r="N50" s="54">
        <f>raw!N75</f>
        <v>0</v>
      </c>
      <c r="O50" s="54" t="str">
        <f>raw!O75</f>
        <v>high, fixed</v>
      </c>
      <c r="P50" s="54">
        <f>raw!P75</f>
        <v>0</v>
      </c>
      <c r="Q50" s="54" t="str">
        <f>raw!Q75</f>
        <v>Fixed</v>
      </c>
      <c r="R50" s="54" t="str" cm="1">
        <f t="array" ref="R50">_xlfn.LET(_xlpm.txt,LOWER(B50&amp;" "&amp;C50&amp;" "&amp;F50&amp;" "&amp;M50&amp;" "&amp;O50),_xlfn.IFS(OR(IFERROR(SEARCH("diw",_xlpm.txt),0)&gt;0,IFERROR(SEARCH("cost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0" s="54" t="str" cm="1">
        <f t="array" ref="S50">_xlfn.LET(_xlpm.txt,LOWER(B50&amp;" "&amp;C50&amp;" "&amp;F50&amp;" "&amp;M50&amp;" "&amp;O50),_xlfn.IFS(IFERROR(SEARCH("diw",_xlpm.txt),0)&gt;0,"diw",IFERROR(SEARCH("cost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0" s="54" t="s">
        <v>465</v>
      </c>
    </row>
    <row r="51" spans="1:20" ht="28.5" hidden="1" x14ac:dyDescent="0.45">
      <c r="A51" s="54">
        <f>raw!A76</f>
        <v>54</v>
      </c>
      <c r="B51" s="54" t="str">
        <f>raw!B76</f>
        <v>Planner &gt; Streamers</v>
      </c>
      <c r="C51" s="54" t="str">
        <f>raw!C76</f>
        <v>System</v>
      </c>
      <c r="D51" s="54" t="str">
        <f>raw!D76</f>
        <v>Must</v>
      </c>
      <c r="E51" s="54" t="str">
        <f>raw!E76</f>
        <v>Rework</v>
      </c>
      <c r="F51" s="54" t="str">
        <f>raw!F76</f>
        <v xml:space="preserve">Inconsistent positions on the TRT indication even it can be blocked by the icon </v>
      </c>
      <c r="G51" s="55">
        <f>raw!G76</f>
        <v>46100</v>
      </c>
      <c r="H51" s="54" t="str">
        <f>raw!H76</f>
        <v>Chris</v>
      </c>
      <c r="I51" s="54">
        <f>raw!I76</f>
        <v>0</v>
      </c>
      <c r="J51" s="54" t="str">
        <f>raw!J76</f>
        <v>Bug</v>
      </c>
      <c r="K51" s="54" t="str">
        <f>raw!K76</f>
        <v>P3</v>
      </c>
      <c r="L51" s="54">
        <f>raw!L76</f>
        <v>0</v>
      </c>
      <c r="M51" s="54" t="str">
        <f>raw!M76</f>
        <v xml:space="preserve">To be fixed </v>
      </c>
      <c r="N51" s="54">
        <f>raw!N76</f>
        <v>0</v>
      </c>
      <c r="O51" s="54" t="str">
        <f>raw!O76</f>
        <v>low, display issue</v>
      </c>
      <c r="P51" s="54">
        <f>raw!P76</f>
        <v>0</v>
      </c>
      <c r="Q51" s="54" t="str">
        <f>raw!Q76</f>
        <v>Not yet fix</v>
      </c>
      <c r="R51" s="54" t="str" cm="1">
        <f t="array" ref="R51">_xlfn.LET(_xlpm.txt,LOWER(B51&amp;" "&amp;C51&amp;" "&amp;F51&amp;" "&amp;M51&amp;" "&amp;O51),_xlfn.IFS(OR(IFERROR(SEARCH("diw",_xlpm.txt),0)&gt;0,IFERROR(SEARCH("cost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1" s="54" t="str" cm="1">
        <f t="array" ref="S51">_xlfn.LET(_xlpm.txt,LOWER(B51&amp;" "&amp;C51&amp;" "&amp;F51&amp;" "&amp;M51&amp;" "&amp;O51),_xlfn.IFS(IFERROR(SEARCH("diw",_xlpm.txt),0)&gt;0,"diw",IFERROR(SEARCH("cost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1" s="54" t="s">
        <v>467</v>
      </c>
    </row>
    <row r="52" spans="1:20" ht="28.5" hidden="1" x14ac:dyDescent="0.45">
      <c r="A52" s="54">
        <f>raw!A86</f>
        <v>58</v>
      </c>
      <c r="B52" s="54" t="str">
        <f>raw!B86</f>
        <v>Admin - Template Management</v>
      </c>
      <c r="C52" s="54" t="str">
        <f>raw!C86</f>
        <v>Gantt View</v>
      </c>
      <c r="D52" s="54" t="str">
        <f>raw!D86</f>
        <v>Should</v>
      </c>
      <c r="E52" s="54" t="str">
        <f>raw!E86</f>
        <v>Rework</v>
      </c>
      <c r="F52" s="54" t="str">
        <f>raw!F86</f>
        <v>Vertical Scroll Bar is visible all the time but not the horizontal one.  Ensure the Horizontal Scroll Bar is visible all the time.</v>
      </c>
      <c r="G52" s="55">
        <f>raw!G86</f>
        <v>46101</v>
      </c>
      <c r="H52" s="54" t="str">
        <f>raw!H86</f>
        <v>Eugene</v>
      </c>
      <c r="I52" s="54" t="str">
        <f>raw!I86</f>
        <v>Refer to Screen Capture</v>
      </c>
      <c r="J52" s="54" t="str">
        <f>raw!J86</f>
        <v>Enhancement</v>
      </c>
      <c r="K52" s="54">
        <f>raw!K86</f>
        <v>0</v>
      </c>
      <c r="L52" s="54">
        <f>raw!L86</f>
        <v>0</v>
      </c>
      <c r="M52" s="54" t="str">
        <f>raw!M86</f>
        <v>To be done</v>
      </c>
      <c r="N52" s="54">
        <f>raw!N86</f>
        <v>0</v>
      </c>
      <c r="O52" s="54" t="str">
        <f>raw!O86</f>
        <v>medium, performance issue</v>
      </c>
      <c r="P52" s="54">
        <f>raw!P86</f>
        <v>0</v>
      </c>
      <c r="Q52" s="54" t="str">
        <f>raw!Q86</f>
        <v>Not yet fix</v>
      </c>
      <c r="R52" s="54" t="str" cm="1">
        <f t="array" ref="R52">_xlfn.LET(_xlpm.txt,LOWER(B52&amp;" "&amp;C52&amp;" "&amp;F52&amp;" "&amp;M52&amp;" "&amp;O52),_xlfn.IFS(OR(IFERROR(SEARCH("diw",_xlpm.txt),0)&gt;0,IFERROR(SEARCH("cost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2" s="54" t="str" cm="1">
        <f t="array" ref="S52">_xlfn.LET(_xlpm.txt,LOWER(B52&amp;" "&amp;C52&amp;" "&amp;F52&amp;" "&amp;M52&amp;" "&amp;O52),_xlfn.IFS(IFERROR(SEARCH("diw",_xlpm.txt),0)&gt;0,"diw",IFERROR(SEARCH("cost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2" s="54" t="s">
        <v>466</v>
      </c>
    </row>
    <row r="53" spans="1:20" ht="28.5" hidden="1" x14ac:dyDescent="0.45">
      <c r="A53" s="54">
        <f>raw!A88</f>
        <v>60</v>
      </c>
      <c r="B53" s="54" t="str">
        <f>raw!B88</f>
        <v>Admin - Template Management</v>
      </c>
      <c r="C53" s="54" t="str">
        <f>raw!C88</f>
        <v>Gantt View</v>
      </c>
      <c r="D53" s="54" t="str">
        <f>raw!D88</f>
        <v>Should</v>
      </c>
      <c r="E53" s="54" t="str">
        <f>raw!E88</f>
        <v>Rework</v>
      </c>
      <c r="F53" s="54" t="str">
        <f>raw!F88</f>
        <v>Put a space before and after hypen (-)</v>
      </c>
      <c r="G53" s="55">
        <f>raw!G88</f>
        <v>46101</v>
      </c>
      <c r="H53" s="54" t="str">
        <f>raw!H88</f>
        <v>Eugene</v>
      </c>
      <c r="I53" s="54" t="str">
        <f>raw!I88</f>
        <v>Refer to Screen Capture</v>
      </c>
      <c r="J53" s="54" t="str">
        <f>raw!J88</f>
        <v>Enhancement</v>
      </c>
      <c r="K53" s="54">
        <f>raw!K88</f>
        <v>0</v>
      </c>
      <c r="L53" s="54">
        <f>raw!L88</f>
        <v>0</v>
      </c>
      <c r="M53" s="54" t="str">
        <f>raw!M88</f>
        <v>To be done</v>
      </c>
      <c r="N53" s="54">
        <f>raw!N88</f>
        <v>0</v>
      </c>
      <c r="O53" s="54" t="str">
        <f>raw!O88</f>
        <v>medium, performance issue</v>
      </c>
      <c r="P53" s="54">
        <f>raw!P88</f>
        <v>0</v>
      </c>
      <c r="Q53" s="54" t="str">
        <f>raw!Q88</f>
        <v>Not yet fix</v>
      </c>
      <c r="R53" s="54" t="str" cm="1">
        <f t="array" ref="R53">_xlfn.LET(_xlpm.txt,LOWER(B53&amp;" "&amp;C53&amp;" "&amp;F53&amp;" "&amp;M53&amp;" "&amp;O53),_xlfn.IFS(OR(IFERROR(SEARCH("diw",_xlpm.txt),0)&gt;0,IFERROR(SEARCH("cost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3" s="54" t="str" cm="1">
        <f t="array" ref="S53">_xlfn.LET(_xlpm.txt,LOWER(B53&amp;" "&amp;C53&amp;" "&amp;F53&amp;" "&amp;M53&amp;" "&amp;O53),_xlfn.IFS(IFERROR(SEARCH("diw",_xlpm.txt),0)&gt;0,"diw",IFERROR(SEARCH("cost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3" s="54" t="s">
        <v>466</v>
      </c>
    </row>
    <row r="54" spans="1:20" ht="28.5" hidden="1" x14ac:dyDescent="0.45">
      <c r="A54" s="54">
        <f>raw!A100</f>
        <v>66</v>
      </c>
      <c r="B54" s="54" t="str">
        <f>raw!B100</f>
        <v>Test Plan</v>
      </c>
      <c r="C54" s="54" t="str">
        <f>raw!C100</f>
        <v>System</v>
      </c>
      <c r="D54" s="54" t="str">
        <f>raw!D100</f>
        <v>Must</v>
      </c>
      <c r="E54" s="54" t="str">
        <f>raw!E100</f>
        <v>Bug</v>
      </c>
      <c r="F54" s="54" t="str">
        <f>raw!F100</f>
        <v>Fail to upload test plan. When click the preview button, system error prompt</v>
      </c>
      <c r="G54" s="55">
        <f>raw!G100</f>
        <v>46113</v>
      </c>
      <c r="H54" s="54" t="str">
        <f>raw!H100</f>
        <v>Ray</v>
      </c>
      <c r="I54" s="54" t="str">
        <f>raw!I100</f>
        <v>Refer to Screen Capture</v>
      </c>
      <c r="J54" s="54" t="str">
        <f>raw!J100</f>
        <v>Bug</v>
      </c>
      <c r="K54" s="54" t="str">
        <f>raw!K100</f>
        <v>P3</v>
      </c>
      <c r="L54" s="54">
        <f>raw!L100</f>
        <v>0</v>
      </c>
      <c r="M54" s="54">
        <f>raw!M100</f>
        <v>0</v>
      </c>
      <c r="N54" s="54">
        <f>raw!N100</f>
        <v>0</v>
      </c>
      <c r="O54" s="54" t="str">
        <f>raw!O100</f>
        <v>High, bug</v>
      </c>
      <c r="P54" s="54">
        <f>raw!P100</f>
        <v>0</v>
      </c>
      <c r="Q54" s="54" t="str">
        <f>raw!Q100</f>
        <v>Not yet fix</v>
      </c>
      <c r="R54" s="54" t="str" cm="1">
        <f t="array" ref="R54">_xlfn.LET(_xlpm.txt,LOWER(B54&amp;" "&amp;C54&amp;" "&amp;F54&amp;" "&amp;M54&amp;" "&amp;O54),_xlfn.IFS(OR(IFERROR(SEARCH("diw",_xlpm.txt),0)&gt;0,IFERROR(SEARCH("cost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4" s="54" t="str" cm="1">
        <f t="array" ref="S54">_xlfn.LET(_xlpm.txt,LOWER(B54&amp;" "&amp;C54&amp;" "&amp;F54&amp;" "&amp;M54&amp;" "&amp;O54),_xlfn.IFS(IFERROR(SEARCH("diw",_xlpm.txt),0)&gt;0,"diw",IFERROR(SEARCH("cost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4" s="54" t="s">
        <v>102</v>
      </c>
    </row>
    <row r="55" spans="1:20" ht="28.5" hidden="1" x14ac:dyDescent="0.45">
      <c r="A55" s="54">
        <f>raw!A111</f>
        <v>76</v>
      </c>
      <c r="B55" s="54" t="str">
        <f>raw!B111</f>
        <v>Test Slot</v>
      </c>
      <c r="C55" s="54" t="str">
        <f>raw!C111</f>
        <v>System</v>
      </c>
      <c r="D55" s="54" t="str">
        <f>raw!D111</f>
        <v>Must</v>
      </c>
      <c r="E55" s="54" t="str">
        <f>raw!E111</f>
        <v>Bug</v>
      </c>
      <c r="F55" s="54" t="str">
        <f>raw!F111</f>
        <v xml:space="preserve">F01. Test Plan Upload fails intermittently </v>
      </c>
      <c r="G55" s="55">
        <f>raw!G111</f>
        <v>46114</v>
      </c>
      <c r="H55" s="54" t="str">
        <f>raw!H111</f>
        <v>Praveen on Ray's Behalf</v>
      </c>
      <c r="I55" s="54">
        <f>raw!I111</f>
        <v>0</v>
      </c>
      <c r="J55" s="54" t="str">
        <f>raw!J111</f>
        <v>Bug</v>
      </c>
      <c r="K55" s="54" t="str">
        <f>raw!K111</f>
        <v>P3</v>
      </c>
      <c r="L55" s="54">
        <f>raw!L111</f>
        <v>0</v>
      </c>
      <c r="M55" s="54" t="str">
        <f>raw!M111</f>
        <v>We are looking into this and are trying to reproduce this, will be addressed in Patch 1</v>
      </c>
      <c r="N55" s="54">
        <f>raw!N111</f>
        <v>0</v>
      </c>
      <c r="O55" s="54" t="str">
        <f>raw!O111</f>
        <v>High</v>
      </c>
      <c r="P55" s="54">
        <f>raw!P111</f>
        <v>0</v>
      </c>
      <c r="Q55" s="54">
        <f>raw!Q111</f>
        <v>0</v>
      </c>
      <c r="R55" s="54" t="str" cm="1">
        <f t="array" ref="R55">_xlfn.LET(_xlpm.txt,LOWER(B55&amp;" "&amp;C55&amp;" "&amp;F55&amp;" "&amp;M55&amp;" "&amp;O55),_xlfn.IFS(OR(IFERROR(SEARCH("diw",_xlpm.txt),0)&gt;0,IFERROR(SEARCH("cost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5" s="54" t="str" cm="1">
        <f t="array" ref="S55">_xlfn.LET(_xlpm.txt,LOWER(B55&amp;" "&amp;C55&amp;" "&amp;F55&amp;" "&amp;M55&amp;" "&amp;O55),_xlfn.IFS(IFERROR(SEARCH("diw",_xlpm.txt),0)&gt;0,"diw",IFERROR(SEARCH("cost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5" s="54" t="s">
        <v>102</v>
      </c>
    </row>
    <row r="56" spans="1:20" ht="42.75" hidden="1" x14ac:dyDescent="0.45">
      <c r="A56" s="54">
        <f>raw!A121</f>
        <v>84</v>
      </c>
      <c r="B56" s="54" t="str">
        <f>raw!B121</f>
        <v>Streamers-&gt;create streamer</v>
      </c>
      <c r="C56" s="54" t="str">
        <f>raw!C121</f>
        <v>System</v>
      </c>
      <c r="D56" s="54" t="str">
        <f>raw!D121</f>
        <v>Should</v>
      </c>
      <c r="E56" s="54">
        <f>raw!E121</f>
        <v>0</v>
      </c>
      <c r="F56" s="54" t="str">
        <f>raw!F121</f>
        <v>No error message is shown when mandatory input data is missing.</v>
      </c>
      <c r="G56" s="55">
        <f>raw!G121</f>
        <v>46118</v>
      </c>
      <c r="H56" s="54" t="str">
        <f>raw!H121</f>
        <v>Edmond</v>
      </c>
      <c r="I56" s="54" t="str">
        <f>raw!I121</f>
        <v>Refer to Screen Capture</v>
      </c>
      <c r="J56" s="54" t="str">
        <f>raw!J121</f>
        <v>None</v>
      </c>
      <c r="K56" s="54">
        <f>raw!K121</f>
        <v>0</v>
      </c>
      <c r="L56" s="54">
        <f>raw!L121</f>
        <v>0</v>
      </c>
      <c r="M56" s="54" t="str">
        <f>raw!M121</f>
        <v>No error message will be shown but wont let the user proced further without filling the mandatory fields the uesr cannot proceed further</v>
      </c>
      <c r="N56" s="54">
        <f>raw!N121</f>
        <v>0</v>
      </c>
      <c r="O56" s="54" t="str">
        <f>raw!O121</f>
        <v>Removed</v>
      </c>
      <c r="P56" s="54">
        <f>raw!P121</f>
        <v>0</v>
      </c>
      <c r="Q56" s="54" t="str">
        <f>raw!Q121</f>
        <v>Closed</v>
      </c>
      <c r="R56" s="54" t="str" cm="1">
        <f t="array" ref="R56">_xlfn.LET(_xlpm.txt,LOWER(B56&amp;" "&amp;C56&amp;" "&amp;F56&amp;" "&amp;M56&amp;" "&amp;O56),_xlfn.IFS(OR(IFERROR(SEARCH("diw",_xlpm.txt),0)&gt;0,IFERROR(SEARCH("cost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6" s="54" t="str" cm="1">
        <f t="array" ref="S56">_xlfn.LET(_xlpm.txt,LOWER(B56&amp;" "&amp;C56&amp;" "&amp;F56&amp;" "&amp;M56&amp;" "&amp;O56),_xlfn.IFS(IFERROR(SEARCH("diw",_xlpm.txt),0)&gt;0,"diw",IFERROR(SEARCH("cost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6" s="54" t="s">
        <v>59</v>
      </c>
    </row>
    <row r="57" spans="1:20" ht="42.75" hidden="1" x14ac:dyDescent="0.45">
      <c r="A57" s="54">
        <f>raw!A122</f>
        <v>85</v>
      </c>
      <c r="B57" s="54" t="str">
        <f>raw!B122</f>
        <v>Streamers-&gt;create streamer</v>
      </c>
      <c r="C57" s="54" t="str">
        <f>raw!C122</f>
        <v>System</v>
      </c>
      <c r="D57" s="54" t="str">
        <f>raw!D122</f>
        <v>Should</v>
      </c>
      <c r="E57" s="54">
        <f>raw!E122</f>
        <v>0</v>
      </c>
      <c r="F57" s="54" t="str">
        <f>raw!F122</f>
        <v>Can't type induction date.</v>
      </c>
      <c r="G57" s="55">
        <f>raw!G122</f>
        <v>46118</v>
      </c>
      <c r="H57" s="54" t="str">
        <f>raw!H122</f>
        <v>Edmond</v>
      </c>
      <c r="I57" s="54" t="str">
        <f>raw!I122</f>
        <v>Refer to Screen Capture</v>
      </c>
      <c r="J57" s="54" t="str">
        <f>raw!J122</f>
        <v>None</v>
      </c>
      <c r="K57" s="54">
        <f>raw!K122</f>
        <v>0</v>
      </c>
      <c r="L57" s="54">
        <f>raw!L122</f>
        <v>0</v>
      </c>
      <c r="M57" s="54" t="str">
        <f>raw!M122</f>
        <v>User needs select from Date picker as per design. Manual entry can cause format inconsistency and errors</v>
      </c>
      <c r="N57" s="54">
        <f>raw!N122</f>
        <v>0</v>
      </c>
      <c r="O57" s="54" t="str">
        <f>raw!O122</f>
        <v>Removed</v>
      </c>
      <c r="P57" s="54">
        <f>raw!P122</f>
        <v>0</v>
      </c>
      <c r="Q57" s="54" t="str">
        <f>raw!Q122</f>
        <v>Closed</v>
      </c>
      <c r="R57" s="54" t="str" cm="1">
        <f t="array" ref="R57">_xlfn.LET(_xlpm.txt,LOWER(B57&amp;" "&amp;C57&amp;" "&amp;F57&amp;" "&amp;M57&amp;" "&amp;O57),_xlfn.IFS(OR(IFERROR(SEARCH("diw",_xlpm.txt),0)&gt;0,IFERROR(SEARCH("cost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7" s="54" t="str" cm="1">
        <f t="array" ref="S57">_xlfn.LET(_xlpm.txt,LOWER(B57&amp;" "&amp;C57&amp;" "&amp;F57&amp;" "&amp;M57&amp;" "&amp;O57),_xlfn.IFS(IFERROR(SEARCH("diw",_xlpm.txt),0)&gt;0,"diw",IFERROR(SEARCH("cost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7" s="54" t="s">
        <v>59</v>
      </c>
    </row>
    <row r="58" spans="1:20" ht="57" hidden="1" x14ac:dyDescent="0.45">
      <c r="A58" s="54">
        <f>raw!A123</f>
        <v>86</v>
      </c>
      <c r="B58" s="54" t="str">
        <f>raw!B123</f>
        <v>Streamers-&gt;create streamer</v>
      </c>
      <c r="C58" s="54" t="str">
        <f>raw!C123</f>
        <v>System</v>
      </c>
      <c r="D58" s="54" t="str">
        <f>raw!D123</f>
        <v>Should</v>
      </c>
      <c r="E58" s="54">
        <f>raw!E123</f>
        <v>0</v>
      </c>
      <c r="F58" s="54" t="str">
        <f>_xlfn.TEXTJOIN(CHAR(10),TRUE,raw!F123:F124)</f>
        <v>if create error template (engine template /module template ) can't change to Module template from Engine Template
Ray: there are no input type template classification in system, issue closed</v>
      </c>
      <c r="G58" s="55">
        <f>raw!G123</f>
        <v>46118</v>
      </c>
      <c r="H58" s="54" t="str">
        <f>raw!H123</f>
        <v>Edmond</v>
      </c>
      <c r="I58" s="54" t="str">
        <f>raw!I123</f>
        <v>Refer to Screen Capture</v>
      </c>
      <c r="J58" s="54" t="str">
        <f>raw!J123</f>
        <v>None</v>
      </c>
      <c r="K58" s="54">
        <f>raw!K123</f>
        <v>0</v>
      </c>
      <c r="L58" s="54">
        <f>raw!L123</f>
        <v>0</v>
      </c>
      <c r="M58" s="54" t="str">
        <f>_xlfn.TEXTJOIN(CHAR(10),TRUE,raw!M123:M124)</f>
        <v>Need  more details from HAESL
@Ray</v>
      </c>
      <c r="N58" s="54">
        <f>raw!N123</f>
        <v>0</v>
      </c>
      <c r="O58" s="54" t="str">
        <f>_xlfn.TEXTJOIN(CHAR(10),TRUE,raw!O123:O124)</f>
        <v>Removed</v>
      </c>
      <c r="P58" s="54">
        <f>raw!P123</f>
        <v>0</v>
      </c>
      <c r="Q58" s="54" t="str">
        <f>raw!Q123</f>
        <v>Closed</v>
      </c>
      <c r="R58" s="54" t="str" cm="1">
        <f t="array" ref="R58">_xlfn.LET(_xlpm.txt,LOWER(B58&amp;" "&amp;C58&amp;" "&amp;F58&amp;" "&amp;M58&amp;" "&amp;O58),_xlfn.IFS(OR(IFERROR(SEARCH("diw",_xlpm.txt),0)&gt;0,IFERROR(SEARCH("cost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8" s="54" t="str" cm="1">
        <f t="array" ref="S58">_xlfn.LET(_xlpm.txt,LOWER(B58&amp;" "&amp;C58&amp;" "&amp;F58&amp;" "&amp;M58&amp;" "&amp;O58),_xlfn.IFS(IFERROR(SEARCH("diw",_xlpm.txt),0)&gt;0,"diw",IFERROR(SEARCH("cost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8" s="54" t="s">
        <v>59</v>
      </c>
    </row>
    <row r="59" spans="1:20" ht="71.25" hidden="1" x14ac:dyDescent="0.45">
      <c r="A59" s="54">
        <f>raw!A125</f>
        <v>87</v>
      </c>
      <c r="B59" s="54" t="str">
        <f>raw!B125</f>
        <v>Streamers-&gt;create streamer</v>
      </c>
      <c r="C59" s="54" t="str">
        <f>raw!C125</f>
        <v>System</v>
      </c>
      <c r="D59" s="54" t="str">
        <f>raw!D125</f>
        <v>Should</v>
      </c>
      <c r="E59" s="54">
        <f>raw!E125</f>
        <v>0</v>
      </c>
      <c r="F59" s="54" t="str">
        <f>_xlfn.TEXTJOIN(CHAR(10),TRUE,raw!F125:F126)</f>
        <v>When creating a TRT, if “Engine” is selected as the input type, it should accept numbers only. There should be validation to check whether any incorrect (non‑numeric) input is entered.
For system flexibity, this validation is not necessary at this moment, issue closed</v>
      </c>
      <c r="G59" s="55">
        <f>raw!G125</f>
        <v>46118</v>
      </c>
      <c r="H59" s="54" t="str">
        <f>raw!H125</f>
        <v>Edmond</v>
      </c>
      <c r="I59" s="54" t="str">
        <f>raw!I125</f>
        <v>Refer to Screen Capture</v>
      </c>
      <c r="J59" s="54" t="str">
        <f>raw!J125</f>
        <v>Bug</v>
      </c>
      <c r="K59" s="54" t="str">
        <f>raw!K125</f>
        <v>P4</v>
      </c>
      <c r="L59" s="54">
        <f>raw!L125</f>
        <v>0</v>
      </c>
      <c r="M59" s="54" t="str">
        <f>_xlfn.TEXTJOIN(CHAR(10),TRUE,raw!M125:M126)</f>
        <v>Engine validation required
@Ray</v>
      </c>
      <c r="N59" s="54">
        <f>raw!N125</f>
        <v>0</v>
      </c>
      <c r="O59" s="54" t="str">
        <f>_xlfn.TEXTJOIN(CHAR(10),TRUE,raw!O125:O126)</f>
        <v>Removed</v>
      </c>
      <c r="P59" s="54">
        <f>raw!P125</f>
        <v>0</v>
      </c>
      <c r="Q59" s="54" t="str">
        <f>raw!Q125</f>
        <v>Closed</v>
      </c>
      <c r="R59" s="54" t="str" cm="1">
        <f t="array" ref="R59">_xlfn.LET(_xlpm.txt,LOWER(B59&amp;" "&amp;C59&amp;" "&amp;F59&amp;" "&amp;M59&amp;" "&amp;O59),_xlfn.IFS(OR(IFERROR(SEARCH("diw",_xlpm.txt),0)&gt;0,IFERROR(SEARCH("cost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59" s="54" t="str" cm="1">
        <f t="array" ref="S59">_xlfn.LET(_xlpm.txt,LOWER(B59&amp;" "&amp;C59&amp;" "&amp;F59&amp;" "&amp;M59&amp;" "&amp;O59),_xlfn.IFS(IFERROR(SEARCH("diw",_xlpm.txt),0)&gt;0,"diw",IFERROR(SEARCH("cost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59" s="54" t="s">
        <v>59</v>
      </c>
    </row>
    <row r="60" spans="1:20" ht="57" hidden="1" x14ac:dyDescent="0.45">
      <c r="A60" s="54">
        <f>raw!A127</f>
        <v>88</v>
      </c>
      <c r="B60" s="54" t="str">
        <f>raw!B127</f>
        <v>Streamers-&gt;create streamer</v>
      </c>
      <c r="C60" s="54" t="str">
        <f>raw!C127</f>
        <v>System</v>
      </c>
      <c r="D60" s="54" t="str">
        <f>raw!D127</f>
        <v>Should</v>
      </c>
      <c r="E60" s="54">
        <f>raw!E127</f>
        <v>0</v>
      </c>
      <c r="F60" s="54" t="str">
        <f>_xlfn.TEXTJOIN(CHAR(10),TRUE,raw!F127:F129)</f>
        <v>1.It is not possible to change only the streamer name.
2. after update streamer name .the streamer name didn't change.
Ray: template name is generate by a default format and not suppose for edit, issue closed</v>
      </c>
      <c r="G60" s="55">
        <f>raw!G127</f>
        <v>46118</v>
      </c>
      <c r="H60" s="54" t="str">
        <f>raw!H127</f>
        <v>Edmond</v>
      </c>
      <c r="I60" s="54" t="str">
        <f>raw!I127</f>
        <v>Refer to Screen Capture</v>
      </c>
      <c r="J60" s="54" t="str">
        <f>raw!J127</f>
        <v>Enhancement</v>
      </c>
      <c r="K60" s="54">
        <f>raw!K127</f>
        <v>0</v>
      </c>
      <c r="L60" s="54">
        <f>raw!L127</f>
        <v>0</v>
      </c>
      <c r="M60" s="54" t="str">
        <f>_xlfn.TEXTJOIN(CHAR(10),TRUE,raw!M127:M129)</f>
        <v>Streamer name change is what type @Ray</v>
      </c>
      <c r="N60" s="54">
        <f>raw!N127</f>
        <v>0</v>
      </c>
      <c r="O60" s="54" t="str">
        <f>_xlfn.TEXTJOIN(CHAR(10),TRUE,raw!O127:O129)</f>
        <v>Removed</v>
      </c>
      <c r="P60" s="54">
        <f>raw!P127</f>
        <v>0</v>
      </c>
      <c r="Q60" s="54" t="str">
        <f>raw!Q127</f>
        <v>Closed</v>
      </c>
      <c r="R60" s="54" t="str" cm="1">
        <f t="array" ref="R60">_xlfn.LET(_xlpm.txt,LOWER(B60&amp;" "&amp;C60&amp;" "&amp;F60&amp;" "&amp;M60&amp;" "&amp;O60),_xlfn.IFS(OR(IFERROR(SEARCH("diw",_xlpm.txt),0)&gt;0,IFERROR(SEARCH("cost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0" s="54" t="str" cm="1">
        <f t="array" ref="S60">_xlfn.LET(_xlpm.txt,LOWER(B60&amp;" "&amp;C60&amp;" "&amp;F60&amp;" "&amp;M60&amp;" "&amp;O60),_xlfn.IFS(IFERROR(SEARCH("diw",_xlpm.txt),0)&gt;0,"diw",IFERROR(SEARCH("cost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0" s="54" t="s">
        <v>59</v>
      </c>
    </row>
    <row r="61" spans="1:20" ht="28.5" hidden="1" x14ac:dyDescent="0.45">
      <c r="A61" s="54">
        <f>raw!A134</f>
        <v>91</v>
      </c>
      <c r="B61" s="54" t="str">
        <f>raw!B134</f>
        <v>Streamers-&gt;create streamer</v>
      </c>
      <c r="C61" s="54" t="str">
        <f>raw!C134</f>
        <v>System</v>
      </c>
      <c r="D61" s="54" t="str">
        <f>raw!D134</f>
        <v>Should</v>
      </c>
      <c r="E61" s="54">
        <f>raw!E134</f>
        <v>0</v>
      </c>
      <c r="F61" s="54" t="str">
        <f>_xlfn.TEXTJOIN(CHAR(10),TRUE,raw!F134:F135)</f>
        <v>can't delete error template
TBD</v>
      </c>
      <c r="G61" s="55">
        <f>raw!G134</f>
        <v>46118</v>
      </c>
      <c r="H61" s="54" t="str">
        <f>raw!H134</f>
        <v>Edmond</v>
      </c>
      <c r="I61" s="54" t="str">
        <f>raw!I134</f>
        <v>Refer to Screen Capture</v>
      </c>
      <c r="J61" s="54" t="str">
        <f>raw!J134</f>
        <v>None</v>
      </c>
      <c r="K61" s="54">
        <f>raw!K134</f>
        <v>0</v>
      </c>
      <c r="L61" s="54">
        <f>raw!L134</f>
        <v>0</v>
      </c>
      <c r="M61" s="54" t="str">
        <f>_xlfn.TEXTJOIN(CHAR(10),TRUE,raw!M134:M135)</f>
        <v>Screenshot missing, needs additional details @Ray</v>
      </c>
      <c r="N61" s="54">
        <f>raw!N134</f>
        <v>0</v>
      </c>
      <c r="O61" s="54" t="str">
        <f>_xlfn.TEXTJOIN(CHAR(10),TRUE,raw!O134:O135)</f>
        <v>Removed</v>
      </c>
      <c r="P61" s="54">
        <f>raw!P134</f>
        <v>0</v>
      </c>
      <c r="Q61" s="54" t="str">
        <f>raw!Q134</f>
        <v>Closed</v>
      </c>
      <c r="R61" s="54" t="str" cm="1">
        <f t="array" ref="R61">_xlfn.LET(_xlpm.txt,LOWER(B61&amp;" "&amp;C61&amp;" "&amp;F61&amp;" "&amp;M61&amp;" "&amp;O61),_xlfn.IFS(OR(IFERROR(SEARCH("diw",_xlpm.txt),0)&gt;0,IFERROR(SEARCH("cost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1" s="54" t="str" cm="1">
        <f t="array" ref="S61">_xlfn.LET(_xlpm.txt,LOWER(B61&amp;" "&amp;C61&amp;" "&amp;F61&amp;" "&amp;M61&amp;" "&amp;O61),_xlfn.IFS(IFERROR(SEARCH("diw",_xlpm.txt),0)&gt;0,"diw",IFERROR(SEARCH("cost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1" s="54" t="s">
        <v>59</v>
      </c>
    </row>
    <row r="62" spans="1:20" ht="28.5" hidden="1" x14ac:dyDescent="0.45">
      <c r="A62" s="54">
        <f>raw!A139</f>
        <v>93</v>
      </c>
      <c r="B62" s="54" t="str">
        <f>raw!B139</f>
        <v>Planner - Create Streamer</v>
      </c>
      <c r="C62" s="54" t="str">
        <f>raw!C139</f>
        <v>UI</v>
      </c>
      <c r="D62" s="54">
        <f>raw!D139</f>
        <v>0</v>
      </c>
      <c r="E62" s="54" t="str">
        <f>raw!E139</f>
        <v>UI</v>
      </c>
      <c r="F62" s="54" t="str">
        <f>_xlfn.TEXTJOIN(CHAR(10),TRUE,raw!F139:F140)</f>
        <v>There is an issue with the date display order.
TBD</v>
      </c>
      <c r="G62" s="55">
        <f>raw!G139</f>
        <v>46118</v>
      </c>
      <c r="H62" s="54" t="str">
        <f>raw!H139</f>
        <v>Edmond</v>
      </c>
      <c r="I62" s="54" t="str">
        <f>raw!I139</f>
        <v>Refer to Screen Capture</v>
      </c>
      <c r="J62" s="54" t="str">
        <f>raw!J139</f>
        <v>None</v>
      </c>
      <c r="K62" s="54">
        <f>raw!K139</f>
        <v>0</v>
      </c>
      <c r="L62" s="54">
        <f>raw!L139</f>
        <v>0</v>
      </c>
      <c r="M62" s="54" t="str">
        <f>_xlfn.TEXTJOIN(CHAR(10),TRUE,raw!M139:M140)</f>
        <v>As per requirements, user can click on the Test Date filter and sort accordingly</v>
      </c>
      <c r="N62" s="54">
        <f>raw!N139</f>
        <v>0</v>
      </c>
      <c r="O62" s="54" t="str">
        <f>_xlfn.TEXTJOIN(CHAR(10),TRUE,raw!O139:O140)</f>
        <v>Removed</v>
      </c>
      <c r="P62" s="54">
        <f>raw!P139</f>
        <v>0</v>
      </c>
      <c r="Q62" s="54" t="str">
        <f>raw!Q139</f>
        <v>Closed</v>
      </c>
      <c r="R62" s="54" t="str" cm="1">
        <f t="array" ref="R62">_xlfn.LET(_xlpm.txt,LOWER(B62&amp;" "&amp;C62&amp;" "&amp;F62&amp;" "&amp;M62&amp;" "&amp;O62),_xlfn.IFS(OR(IFERROR(SEARCH("diw",_xlpm.txt),0)&gt;0,IFERROR(SEARCH("cost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2" s="54" t="str" cm="1">
        <f t="array" ref="S62">_xlfn.LET(_xlpm.txt,LOWER(B62&amp;" "&amp;C62&amp;" "&amp;F62&amp;" "&amp;M62&amp;" "&amp;O62),_xlfn.IFS(IFERROR(SEARCH("diw",_xlpm.txt),0)&gt;0,"diw",IFERROR(SEARCH("cost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2" s="54" t="s">
        <v>59</v>
      </c>
    </row>
    <row r="63" spans="1:20" hidden="1" x14ac:dyDescent="0.45">
      <c r="A63" s="54">
        <f>raw!A143</f>
        <v>95</v>
      </c>
      <c r="B63" s="54" t="str">
        <f>raw!B143</f>
        <v>Planner -&gt; Engine Update</v>
      </c>
      <c r="C63" s="54" t="str">
        <f>raw!C143</f>
        <v>System</v>
      </c>
      <c r="D63" s="54">
        <f>raw!D143</f>
        <v>0</v>
      </c>
      <c r="E63" s="54">
        <f>raw!E143</f>
        <v>0</v>
      </c>
      <c r="F63" s="54" t="str">
        <f>raw!F143</f>
        <v>How to Use the "Offset Module" Function</v>
      </c>
      <c r="G63" s="55">
        <f>raw!G143</f>
        <v>46118</v>
      </c>
      <c r="H63" s="54" t="str">
        <f>raw!H143</f>
        <v>Ricky</v>
      </c>
      <c r="I63" s="54">
        <f>raw!I143</f>
        <v>0</v>
      </c>
      <c r="J63" s="54" t="str">
        <f>raw!J143</f>
        <v>None</v>
      </c>
      <c r="K63" s="54">
        <f>raw!K143</f>
        <v>0</v>
      </c>
      <c r="L63" s="54">
        <f>raw!L143</f>
        <v>0</v>
      </c>
      <c r="M63" s="54">
        <f>raw!M143</f>
        <v>0</v>
      </c>
      <c r="N63" s="54">
        <f>raw!N143</f>
        <v>0</v>
      </c>
      <c r="O63" s="54" t="str">
        <f>raw!O143</f>
        <v>Removed</v>
      </c>
      <c r="P63" s="54">
        <f>raw!P143</f>
        <v>0</v>
      </c>
      <c r="Q63" s="54" t="str">
        <f>raw!Q143</f>
        <v>Closed</v>
      </c>
      <c r="R63" s="54" t="str" cm="1">
        <f t="array" ref="R63">_xlfn.LET(_xlpm.txt,LOWER(B63&amp;" "&amp;C63&amp;" "&amp;F63&amp;" "&amp;M63&amp;" "&amp;O63),_xlfn.IFS(OR(IFERROR(SEARCH("diw",_xlpm.txt),0)&gt;0,IFERROR(SEARCH("cost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3" s="54" t="str" cm="1">
        <f t="array" ref="S63">_xlfn.LET(_xlpm.txt,LOWER(B63&amp;" "&amp;C63&amp;" "&amp;F63&amp;" "&amp;M63&amp;" "&amp;O63),_xlfn.IFS(IFERROR(SEARCH("diw",_xlpm.txt),0)&gt;0,"diw",IFERROR(SEARCH("cost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3" s="54" t="s">
        <v>59</v>
      </c>
    </row>
    <row r="64" spans="1:20" ht="28.5" hidden="1" x14ac:dyDescent="0.45">
      <c r="A64" s="54">
        <f>raw!A183</f>
        <v>110</v>
      </c>
      <c r="B64" s="54" t="str">
        <f>raw!B183</f>
        <v>User Setting</v>
      </c>
      <c r="C64" s="54" t="str">
        <f>raw!C183</f>
        <v>System</v>
      </c>
      <c r="D64" s="54" t="str">
        <f>raw!D183</f>
        <v>Must</v>
      </c>
      <c r="E64" s="54" t="str">
        <f>raw!E183</f>
        <v>Bug</v>
      </c>
      <c r="F64" s="54" t="str">
        <f>raw!F183</f>
        <v>Unable to search the user from the access right list after add the user, and the user unable to access the streamer too.</v>
      </c>
      <c r="G64" s="55">
        <f>raw!G183</f>
        <v>46122</v>
      </c>
      <c r="H64" s="54" t="str">
        <f>raw!H183</f>
        <v>Ray</v>
      </c>
      <c r="I64" s="54" t="str">
        <f>raw!I183</f>
        <v>Refer to Screen Capture</v>
      </c>
      <c r="J64" s="54" t="str">
        <f>raw!J183</f>
        <v>Bug</v>
      </c>
      <c r="K64" s="54" t="str">
        <f>raw!K183</f>
        <v>P1</v>
      </c>
      <c r="L64" s="54">
        <f>raw!L183</f>
        <v>0</v>
      </c>
      <c r="M64" s="54" t="str">
        <f>raw!M183</f>
        <v xml:space="preserve">Being worked on </v>
      </c>
      <c r="N64" s="54">
        <f>raw!N183</f>
        <v>0</v>
      </c>
      <c r="O64" s="54" t="str">
        <f>raw!O183</f>
        <v>High, bug</v>
      </c>
      <c r="P64" s="54">
        <f>raw!P183</f>
        <v>0</v>
      </c>
      <c r="Q64" s="54">
        <f>raw!Q183</f>
        <v>0</v>
      </c>
      <c r="R64" s="54" t="str" cm="1">
        <f t="array" ref="R64">_xlfn.LET(_xlpm.txt,LOWER(B64&amp;" "&amp;C64&amp;" "&amp;F64&amp;" "&amp;M64&amp;" "&amp;O64),_xlfn.IFS(OR(IFERROR(SEARCH("diw",_xlpm.txt),0)&gt;0,IFERROR(SEARCH("cost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4" s="54" t="str" cm="1">
        <f t="array" ref="S64">_xlfn.LET(_xlpm.txt,LOWER(B64&amp;" "&amp;C64&amp;" "&amp;F64&amp;" "&amp;M64&amp;" "&amp;O64),_xlfn.IFS(IFERROR(SEARCH("diw",_xlpm.txt),0)&gt;0,"diw",IFERROR(SEARCH("cost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4" s="54" t="s">
        <v>102</v>
      </c>
    </row>
    <row r="65" spans="1:20" ht="71.25" hidden="1" x14ac:dyDescent="0.45">
      <c r="A65" s="54">
        <f>raw!A199</f>
        <v>123</v>
      </c>
      <c r="B65" s="54" t="str">
        <f>raw!B199</f>
        <v>Streamer &gt; Export</v>
      </c>
      <c r="C65" s="54" t="str">
        <f>raw!C199</f>
        <v>System</v>
      </c>
      <c r="D65" s="54" t="str">
        <f>raw!D199</f>
        <v>Should</v>
      </c>
      <c r="E65" s="54" t="str">
        <f>raw!E199</f>
        <v>Enhancement</v>
      </c>
      <c r="F65" s="54" t="str">
        <f>_xlfn.TEXTJOIN(CHAR(10),TRUE,raw!F199:F200)</f>
        <v xml:space="preserve">No matter for PDF or CSV file, to enhance information exported for below columns included:
| Streamer Name | ESN | Sales Order | Visit Type | Customer Code | Input Type | Induction Date | Test Date | Status (WIP/Completed/Disabled) | </v>
      </c>
      <c r="G65" s="55">
        <f>raw!G199</f>
        <v>46127</v>
      </c>
      <c r="H65" s="54" t="str">
        <f>raw!H199</f>
        <v>Chris</v>
      </c>
      <c r="I65" s="54">
        <f>raw!I199</f>
        <v>0</v>
      </c>
      <c r="J65" s="54">
        <f>raw!J199</f>
        <v>0</v>
      </c>
      <c r="K65" s="54">
        <f>raw!K199</f>
        <v>0</v>
      </c>
      <c r="L65" s="54">
        <f>raw!L199</f>
        <v>0</v>
      </c>
      <c r="M65" s="54" t="str">
        <f>_xlfn.TEXTJOIN(CHAR(10),TRUE,raw!M199:M200)</f>
        <v/>
      </c>
      <c r="N65" s="54">
        <f>raw!N199</f>
        <v>0</v>
      </c>
      <c r="O65" s="54" t="str">
        <f>_xlfn.TEXTJOIN(CHAR(10),TRUE,raw!O199:O200)</f>
        <v>Low, but performance issue</v>
      </c>
      <c r="P65" s="54">
        <f>raw!P199</f>
        <v>0</v>
      </c>
      <c r="Q65" s="54">
        <f>raw!Q199</f>
        <v>0</v>
      </c>
      <c r="R65" s="54" t="str" cm="1">
        <f t="array" ref="R65">_xlfn.LET(_xlpm.txt,LOWER(B65&amp;" "&amp;C65&amp;" "&amp;F65&amp;" "&amp;M65&amp;" "&amp;O65),_xlfn.IFS(OR(IFERROR(SEARCH("diw",_xlpm.txt),0)&gt;0,IFERROR(SEARCH("cost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5" s="54" t="str" cm="1">
        <f t="array" ref="S65">_xlfn.LET(_xlpm.txt,LOWER(B65&amp;" "&amp;C65&amp;" "&amp;F65&amp;" "&amp;M65&amp;" "&amp;O65),_xlfn.IFS(IFERROR(SEARCH("diw",_xlpm.txt),0)&gt;0,"diw",IFERROR(SEARCH("cost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5" s="54" t="s">
        <v>63</v>
      </c>
    </row>
    <row r="66" spans="1:20" ht="28.5" hidden="1" x14ac:dyDescent="0.45">
      <c r="A66" s="54">
        <f>raw!A208</f>
        <v>128</v>
      </c>
      <c r="B66" s="54" t="str">
        <f>raw!B208</f>
        <v>Streamer &gt; Streamer Edit Page</v>
      </c>
      <c r="C66" s="54" t="str">
        <f>raw!C208</f>
        <v>System</v>
      </c>
      <c r="D66" s="54" t="str">
        <f>raw!D208</f>
        <v>Must</v>
      </c>
      <c r="E66" s="54" t="str">
        <f>raw!E208</f>
        <v>Bug</v>
      </c>
      <c r="F66" s="54" t="str">
        <f>raw!F208</f>
        <v xml:space="preserve">it cannot be refreshed by "Refresh (Ctrl + R)" </v>
      </c>
      <c r="G66" s="55">
        <f>raw!G208</f>
        <v>46127</v>
      </c>
      <c r="H66" s="54" t="str">
        <f>raw!H208</f>
        <v>Chris</v>
      </c>
      <c r="I66" s="54">
        <f>raw!I208</f>
        <v>0</v>
      </c>
      <c r="J66" s="54">
        <f>raw!J208</f>
        <v>0</v>
      </c>
      <c r="K66" s="54">
        <f>raw!K208</f>
        <v>0</v>
      </c>
      <c r="L66" s="54">
        <f>raw!L208</f>
        <v>0</v>
      </c>
      <c r="M66" s="54">
        <f>raw!M208</f>
        <v>0</v>
      </c>
      <c r="N66" s="54">
        <f>raw!N208</f>
        <v>0</v>
      </c>
      <c r="O66" s="54" t="str">
        <f>raw!O208</f>
        <v>Low, bug</v>
      </c>
      <c r="P66" s="54">
        <f>raw!P208</f>
        <v>0</v>
      </c>
      <c r="Q66" s="54">
        <f>raw!Q208</f>
        <v>0</v>
      </c>
      <c r="R66" s="54" t="str" cm="1">
        <f t="array" ref="R66">_xlfn.LET(_xlpm.txt,LOWER(B66&amp;" "&amp;C66&amp;" "&amp;F66&amp;" "&amp;M66&amp;" "&amp;O66),_xlfn.IFS(OR(IFERROR(SEARCH("diw",_xlpm.txt),0)&gt;0,IFERROR(SEARCH("cost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6" s="54" t="str" cm="1">
        <f t="array" ref="S66">_xlfn.LET(_xlpm.txt,LOWER(B66&amp;" "&amp;C66&amp;" "&amp;F66&amp;" "&amp;M66&amp;" "&amp;O66),_xlfn.IFS(IFERROR(SEARCH("diw",_xlpm.txt),0)&gt;0,"diw",IFERROR(SEARCH("cost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6" s="54" t="s">
        <v>63</v>
      </c>
    </row>
    <row r="67" spans="1:20" ht="28.5" hidden="1" x14ac:dyDescent="0.45">
      <c r="A67" s="54">
        <f>raw!A210</f>
        <v>130</v>
      </c>
      <c r="B67" s="54" t="str">
        <f>raw!B210</f>
        <v>Test Slot Preview</v>
      </c>
      <c r="C67" s="54" t="str">
        <f>raw!C210</f>
        <v>System</v>
      </c>
      <c r="D67" s="54" t="str">
        <f>raw!D210</f>
        <v>Must</v>
      </c>
      <c r="E67" s="54" t="str">
        <f>raw!E210</f>
        <v>Bug</v>
      </c>
      <c r="F67" s="54" t="str">
        <f>raw!F210</f>
        <v>The remark is not correct. For example the engine is in test plan but the remark's comment said the engine is not in the test plan.</v>
      </c>
      <c r="G67" s="55">
        <f>raw!G210</f>
        <v>46127</v>
      </c>
      <c r="H67" s="54" t="str">
        <f>raw!H210</f>
        <v>Eugene</v>
      </c>
      <c r="I67" s="54">
        <f>raw!I210</f>
        <v>0</v>
      </c>
      <c r="J67" s="54">
        <f>raw!J210</f>
        <v>0</v>
      </c>
      <c r="K67" s="54">
        <f>raw!K210</f>
        <v>0</v>
      </c>
      <c r="L67" s="54">
        <f>raw!L210</f>
        <v>0</v>
      </c>
      <c r="M67" s="54">
        <f>raw!M210</f>
        <v>0</v>
      </c>
      <c r="N67" s="54">
        <f>raw!N210</f>
        <v>0</v>
      </c>
      <c r="O67" s="54" t="str">
        <f>raw!O210</f>
        <v>High, bug</v>
      </c>
      <c r="P67" s="54">
        <f>raw!P210</f>
        <v>0</v>
      </c>
      <c r="Q67" s="54">
        <f>raw!Q210</f>
        <v>0</v>
      </c>
      <c r="R67" s="54" t="str" cm="1">
        <f t="array" ref="R67">_xlfn.LET(_xlpm.txt,LOWER(B67&amp;" "&amp;C67&amp;" "&amp;F67&amp;" "&amp;M67&amp;" "&amp;O67),_xlfn.IFS(OR(IFERROR(SEARCH("diw",_xlpm.txt),0)&gt;0,IFERROR(SEARCH("cost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7" s="54" t="str" cm="1">
        <f t="array" ref="S67">_xlfn.LET(_xlpm.txt,LOWER(B67&amp;" "&amp;C67&amp;" "&amp;F67&amp;" "&amp;M67&amp;" "&amp;O67),_xlfn.IFS(IFERROR(SEARCH("diw",_xlpm.txt),0)&gt;0,"diw",IFERROR(SEARCH("cost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7" s="54" t="s">
        <v>102</v>
      </c>
    </row>
    <row r="68" spans="1:20" hidden="1" x14ac:dyDescent="0.45">
      <c r="A68" s="54">
        <f>raw!A225</f>
        <v>141</v>
      </c>
      <c r="B68" s="54" t="str">
        <f>raw!B225</f>
        <v>Active Streamer</v>
      </c>
      <c r="C68" s="54" t="str">
        <f>raw!C225</f>
        <v>System</v>
      </c>
      <c r="D68" s="54" t="str">
        <f>raw!D225</f>
        <v>Must</v>
      </c>
      <c r="E68" s="54" t="str">
        <f>raw!E225</f>
        <v>Rework</v>
      </c>
      <c r="F68" s="54" t="str">
        <f>raw!F225</f>
        <v>Not Able to search the streamer by module S/N</v>
      </c>
      <c r="G68" s="55">
        <f>raw!G225</f>
        <v>46129</v>
      </c>
      <c r="H68" s="54" t="str">
        <f>raw!H225</f>
        <v>CR</v>
      </c>
      <c r="I68" s="54" t="str">
        <f>raw!I225</f>
        <v>N/A</v>
      </c>
      <c r="J68" s="54">
        <f>raw!J225</f>
        <v>0</v>
      </c>
      <c r="K68" s="54">
        <f>raw!K225</f>
        <v>0</v>
      </c>
      <c r="L68" s="54">
        <f>raw!L225</f>
        <v>0</v>
      </c>
      <c r="M68" s="54">
        <f>raw!M225</f>
        <v>0</v>
      </c>
      <c r="N68" s="54">
        <f>raw!N225</f>
        <v>0</v>
      </c>
      <c r="O68" s="54" t="str">
        <f>raw!O225</f>
        <v>Medium</v>
      </c>
      <c r="P68" s="54">
        <f>raw!P225</f>
        <v>0</v>
      </c>
      <c r="Q68" s="54">
        <f>raw!Q225</f>
        <v>0</v>
      </c>
      <c r="R68" s="54" t="str" cm="1">
        <f t="array" ref="R68">_xlfn.LET(_xlpm.txt,LOWER(B68&amp;" "&amp;C68&amp;" "&amp;F68&amp;" "&amp;M68&amp;" "&amp;O68),_xlfn.IFS(OR(IFERROR(SEARCH("diw",_xlpm.txt),0)&gt;0,IFERROR(SEARCH("cost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8" s="54" t="str" cm="1">
        <f t="array" ref="S68">_xlfn.LET(_xlpm.txt,LOWER(B68&amp;" "&amp;C68&amp;" "&amp;F68&amp;" "&amp;M68&amp;" "&amp;O68),_xlfn.IFS(IFERROR(SEARCH("diw",_xlpm.txt),0)&gt;0,"diw",IFERROR(SEARCH("cost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8" s="54" t="s">
        <v>48</v>
      </c>
    </row>
    <row r="69" spans="1:20" hidden="1" x14ac:dyDescent="0.45">
      <c r="A69" s="54">
        <f>raw!A228</f>
        <v>144</v>
      </c>
      <c r="B69" s="54" t="str">
        <f>raw!B228</f>
        <v>Active Streamer</v>
      </c>
      <c r="C69" s="54" t="str">
        <f>raw!C228</f>
        <v>System</v>
      </c>
      <c r="D69" s="54" t="str">
        <f>raw!D228</f>
        <v>Must</v>
      </c>
      <c r="E69" s="54" t="str">
        <f>raw!E228</f>
        <v>Bug</v>
      </c>
      <c r="F69" s="54" t="str">
        <f>raw!F228</f>
        <v>Unable to select or view previous issue of streamer</v>
      </c>
      <c r="G69" s="55">
        <f>raw!G228</f>
        <v>46129</v>
      </c>
      <c r="H69" s="54" t="str">
        <f>raw!H228</f>
        <v>Ray</v>
      </c>
      <c r="I69" s="54" t="str">
        <f>raw!I228</f>
        <v>N/A</v>
      </c>
      <c r="J69" s="54">
        <f>raw!J228</f>
        <v>0</v>
      </c>
      <c r="K69" s="54">
        <f>raw!K228</f>
        <v>0</v>
      </c>
      <c r="L69" s="54">
        <f>raw!L228</f>
        <v>0</v>
      </c>
      <c r="M69" s="54">
        <f>raw!M228</f>
        <v>0</v>
      </c>
      <c r="N69" s="54">
        <f>raw!N228</f>
        <v>0</v>
      </c>
      <c r="O69" s="54" t="str">
        <f>raw!O228</f>
        <v>Medium</v>
      </c>
      <c r="P69" s="54">
        <f>raw!P228</f>
        <v>0</v>
      </c>
      <c r="Q69" s="54">
        <f>raw!Q228</f>
        <v>0</v>
      </c>
      <c r="R69" s="54" t="str" cm="1">
        <f t="array" ref="R69">_xlfn.LET(_xlpm.txt,LOWER(B69&amp;" "&amp;C69&amp;" "&amp;F69&amp;" "&amp;M69&amp;" "&amp;O69),_xlfn.IFS(OR(IFERROR(SEARCH("diw",_xlpm.txt),0)&gt;0,IFERROR(SEARCH("cost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69" s="54" t="str" cm="1">
        <f t="array" ref="S69">_xlfn.LET(_xlpm.txt,LOWER(B69&amp;" "&amp;C69&amp;" "&amp;F69&amp;" "&amp;M69&amp;" "&amp;O69),_xlfn.IFS(IFERROR(SEARCH("diw",_xlpm.txt),0)&gt;0,"diw",IFERROR(SEARCH("cost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69" s="54" t="s">
        <v>48</v>
      </c>
    </row>
    <row r="70" spans="1:20" hidden="1" x14ac:dyDescent="0.45">
      <c r="A70" s="54">
        <f>raw!A229</f>
        <v>145</v>
      </c>
      <c r="B70" s="54" t="str">
        <f>raw!B229</f>
        <v>Planner -&gt; Streamer</v>
      </c>
      <c r="C70" s="54" t="str">
        <f>raw!C229</f>
        <v>System</v>
      </c>
      <c r="D70" s="54">
        <f>raw!D229</f>
        <v>0</v>
      </c>
      <c r="E70" s="54" t="str">
        <f>raw!E229</f>
        <v>Rework</v>
      </c>
      <c r="F70" s="54" t="str">
        <f>raw!F229</f>
        <v>HAESL Visit Type: no RTP</v>
      </c>
      <c r="G70" s="55">
        <f>raw!G229</f>
        <v>46130</v>
      </c>
      <c r="H70" s="54" t="str">
        <f>raw!H229</f>
        <v>Ricky</v>
      </c>
      <c r="I70" s="54">
        <f>raw!I229</f>
        <v>0</v>
      </c>
      <c r="J70" s="54">
        <f>raw!J229</f>
        <v>0</v>
      </c>
      <c r="K70" s="54">
        <f>raw!K229</f>
        <v>0</v>
      </c>
      <c r="L70" s="54">
        <f>raw!L229</f>
        <v>0</v>
      </c>
      <c r="M70" s="54">
        <f>raw!M229</f>
        <v>0</v>
      </c>
      <c r="N70" s="54">
        <f>raw!N229</f>
        <v>0</v>
      </c>
      <c r="O70" s="54" t="str">
        <f>raw!O229</f>
        <v>Medium</v>
      </c>
      <c r="P70" s="54">
        <f>raw!P229</f>
        <v>0</v>
      </c>
      <c r="Q70" s="54">
        <f>raw!Q229</f>
        <v>0</v>
      </c>
      <c r="R70" s="54" t="str" cm="1">
        <f t="array" ref="R70">_xlfn.LET(_xlpm.txt,LOWER(B70&amp;" "&amp;C70&amp;" "&amp;F70&amp;" "&amp;M70&amp;" "&amp;O70),_xlfn.IFS(OR(IFERROR(SEARCH("diw",_xlpm.txt),0)&gt;0,IFERROR(SEARCH("cost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Other / General</v>
      </c>
      <c r="S70" s="54" t="str" cm="1">
        <f t="array" ref="S70">_xlfn.LET(_xlpm.txt,LOWER(B70&amp;" "&amp;C70&amp;" "&amp;F70&amp;" "&amp;M70&amp;" "&amp;O70),_xlfn.IFS(IFERROR(SEARCH("diw",_xlpm.txt),0)&gt;0,"diw",IFERROR(SEARCH("cost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(no match)</v>
      </c>
      <c r="T70" s="54" t="s">
        <v>48</v>
      </c>
    </row>
    <row r="71" spans="1:20" ht="28.5" x14ac:dyDescent="0.45">
      <c r="A71" s="54">
        <f>raw!A8</f>
        <v>6</v>
      </c>
      <c r="B71" s="54" t="str">
        <f>raw!B8</f>
        <v>Planner - Create Streamer</v>
      </c>
      <c r="C71" s="54" t="str">
        <f>raw!C8</f>
        <v>System</v>
      </c>
      <c r="D71" s="54" t="str">
        <f>raw!D8</f>
        <v>Must</v>
      </c>
      <c r="E71" s="54" t="str">
        <f>raw!E8</f>
        <v>Bug</v>
      </c>
      <c r="F71" s="54" t="str">
        <f>raw!F8</f>
        <v>Dispatch Module S/N cannot be updated.</v>
      </c>
      <c r="G71" s="55">
        <f>raw!G8</f>
        <v>46097</v>
      </c>
      <c r="H71" s="54" t="str">
        <f>raw!H8</f>
        <v>Ricky</v>
      </c>
      <c r="I71" s="54" t="str">
        <f>raw!I8</f>
        <v>Refer to Screen Capture</v>
      </c>
      <c r="J71" s="54" t="str">
        <f>raw!J8</f>
        <v>None</v>
      </c>
      <c r="K71" s="54">
        <f>raw!K8</f>
        <v>0</v>
      </c>
      <c r="L71" s="54">
        <f>raw!L8</f>
        <v>0</v>
      </c>
      <c r="M71" s="54" t="str">
        <f>raw!M8</f>
        <v>As per requirement</v>
      </c>
      <c r="N71" s="54">
        <f>raw!N8</f>
        <v>0</v>
      </c>
      <c r="O71" s="54" t="str">
        <f>raw!O8</f>
        <v>Medium</v>
      </c>
      <c r="P71" s="54">
        <f>raw!P8</f>
        <v>0</v>
      </c>
      <c r="Q71" s="54" t="str">
        <f>raw!Q8</f>
        <v>Fixed</v>
      </c>
      <c r="R71" s="54" t="str" cm="1">
        <f t="array" ref="R71">_xlfn.LET(_xlpm.txt,LOWER(B71&amp;" "&amp;C71&amp;" "&amp;F71&amp;" "&amp;M71&amp;" "&amp;O71),_xlfn.IFS(OR(IFERROR(SEARCH("diw",_xlpm.txt),0)&gt;0,IFERROR(SEARCH("cost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1" s="54" t="str" cm="1">
        <f t="array" ref="S71">_xlfn.LET(_xlpm.txt,LOWER(B71&amp;" "&amp;C71&amp;" "&amp;F71&amp;" "&amp;M71&amp;" "&amp;O71),_xlfn.IFS(IFERROR(SEARCH("diw",_xlpm.txt),0)&gt;0,"diw",IFERROR(SEARCH("cost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dispatch module</v>
      </c>
      <c r="T71" s="54" t="s">
        <v>48</v>
      </c>
    </row>
    <row r="72" spans="1:20" ht="42.75" x14ac:dyDescent="0.45">
      <c r="A72" s="54">
        <f>raw!A78</f>
        <v>56</v>
      </c>
      <c r="B72" s="54" t="str">
        <f>raw!B78</f>
        <v>Planner &gt; Streamers</v>
      </c>
      <c r="C72" s="54" t="str">
        <f>raw!C78</f>
        <v>System</v>
      </c>
      <c r="D72" s="54" t="str">
        <f>raw!D78</f>
        <v>Should</v>
      </c>
      <c r="E72" s="54" t="str">
        <f>raw!E78</f>
        <v>Rework</v>
      </c>
      <c r="F72" s="54" t="str">
        <f>raw!F78</f>
        <v>The top‑level task has been completed; please proceed to complete the sub‑tasks. Engine Level Task update PCD, all module level task will update too (not included the swap module task)</v>
      </c>
      <c r="G72" s="55">
        <f>raw!G78</f>
        <v>46100</v>
      </c>
      <c r="H72" s="54" t="str">
        <f>raw!H78</f>
        <v>Ricky</v>
      </c>
      <c r="I72" s="54" t="str">
        <f>raw!I78</f>
        <v>Refer to Screen Capture</v>
      </c>
      <c r="J72" s="54">
        <f>raw!J78</f>
        <v>0</v>
      </c>
      <c r="K72" s="54">
        <f>raw!K78</f>
        <v>0</v>
      </c>
      <c r="L72" s="54">
        <f>raw!L78</f>
        <v>0</v>
      </c>
      <c r="M72" s="54">
        <f>raw!M78</f>
        <v>0</v>
      </c>
      <c r="N72" s="54">
        <f>raw!N78</f>
        <v>0</v>
      </c>
      <c r="O72" s="54" t="str">
        <f>raw!O78</f>
        <v>High</v>
      </c>
      <c r="P72" s="54">
        <f>raw!P78</f>
        <v>0</v>
      </c>
      <c r="Q72" s="54" t="str">
        <f>raw!Q78</f>
        <v>Not yet fix</v>
      </c>
      <c r="R72" s="54" t="str" cm="1">
        <f t="array" ref="R72">_xlfn.LET(_xlpm.txt,LOWER(B72&amp;" "&amp;C72&amp;" "&amp;F72&amp;" "&amp;M72&amp;" "&amp;O72),_xlfn.IFS(OR(IFERROR(SEARCH("diw",_xlpm.txt),0)&gt;0,IFERROR(SEARCH("cost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2" s="54" t="str" cm="1">
        <f t="array" ref="S72">_xlfn.LET(_xlpm.txt,LOWER(B72&amp;" "&amp;C72&amp;" "&amp;F72&amp;" "&amp;M72&amp;" "&amp;O72),_xlfn.IFS(IFERROR(SEARCH("diw",_xlpm.txt),0)&gt;0,"diw",IFERROR(SEARCH("cost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swap</v>
      </c>
      <c r="T72" s="54" t="s">
        <v>102</v>
      </c>
    </row>
    <row r="73" spans="1:20" ht="28.5" x14ac:dyDescent="0.45">
      <c r="A73" s="54">
        <f>raw!A89</f>
        <v>61</v>
      </c>
      <c r="B73" s="54" t="str">
        <f>raw!B89</f>
        <v>Planner -&gt; Streamer -&gt;  Create Streamer</v>
      </c>
      <c r="C73" s="54" t="str">
        <f>raw!C89</f>
        <v>System</v>
      </c>
      <c r="D73" s="54" t="str">
        <f>raw!D89</f>
        <v>Must</v>
      </c>
      <c r="E73" s="54" t="str">
        <f>raw!E89</f>
        <v>Bug</v>
      </c>
      <c r="F73" s="54" t="str">
        <f>_xlfn.TEXTJOIN(CHAR(10),TRUE,raw!F89:F90)</f>
        <v>The dispatched Module S/N cannot be changed at the first input.
Resolved: Click swap module button and click the Set as Default</v>
      </c>
      <c r="G73" s="55">
        <f>raw!G89</f>
        <v>46105</v>
      </c>
      <c r="H73" s="54" t="str">
        <f>raw!H89</f>
        <v>Ricky</v>
      </c>
      <c r="I73" s="54" t="str">
        <f>raw!I89</f>
        <v>Refer to Screen Capture</v>
      </c>
      <c r="J73" s="54" t="str">
        <f>raw!J89</f>
        <v>None</v>
      </c>
      <c r="K73" s="54">
        <f>raw!K89</f>
        <v>0</v>
      </c>
      <c r="L73" s="54">
        <f>raw!L89</f>
        <v>0</v>
      </c>
      <c r="M73" s="54" t="str">
        <f>_xlfn.TEXTJOIN(CHAR(10),TRUE,raw!M89:M90)</f>
        <v>Not clear understanding, please provide details @Ricky</v>
      </c>
      <c r="N73" s="54">
        <f>raw!N89</f>
        <v>0</v>
      </c>
      <c r="O73" s="54" t="str">
        <f>_xlfn.TEXTJOIN(CHAR(10),TRUE,raw!O89:O90)</f>
        <v>Removed</v>
      </c>
      <c r="P73" s="54">
        <f>raw!P89</f>
        <v>0</v>
      </c>
      <c r="Q73" s="54" t="str">
        <f>raw!Q89</f>
        <v>Closed</v>
      </c>
      <c r="R73" s="54" t="str" cm="1">
        <f t="array" ref="R73">_xlfn.LET(_xlpm.txt,LOWER(B73&amp;" "&amp;C73&amp;" "&amp;F73&amp;" "&amp;M73&amp;" "&amp;O73),_xlfn.IFS(OR(IFERROR(SEARCH("diw",_xlpm.txt),0)&gt;0,IFERROR(SEARCH("cost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3" s="54" t="str" cm="1">
        <f t="array" ref="S73">_xlfn.LET(_xlpm.txt,LOWER(B73&amp;" "&amp;C73&amp;" "&amp;F73&amp;" "&amp;M73&amp;" "&amp;O73),_xlfn.IFS(IFERROR(SEARCH("diw",_xlpm.txt),0)&gt;0,"diw",IFERROR(SEARCH("cost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swap</v>
      </c>
      <c r="T73" s="89" t="s">
        <v>59</v>
      </c>
    </row>
    <row r="74" spans="1:20" ht="42.75" x14ac:dyDescent="0.45">
      <c r="A74" s="54">
        <f>raw!A117</f>
        <v>81</v>
      </c>
      <c r="B74" s="54" t="str">
        <f>raw!B117</f>
        <v>Module Swap</v>
      </c>
      <c r="C74" s="54" t="str">
        <f>raw!C117</f>
        <v>System</v>
      </c>
      <c r="D74" s="54" t="str">
        <f>raw!D117</f>
        <v>Must</v>
      </c>
      <c r="E74" s="54" t="str">
        <f>raw!E117</f>
        <v>Bug</v>
      </c>
      <c r="F74" s="54" t="str">
        <f>raw!F117</f>
        <v>F09 - . Module swap assistance FAIL, same module cannot swap to more than one engine streamer at the same time. Module could swap from Engine A then Engine B, but not Engine A and Engine B.</v>
      </c>
      <c r="G74" s="55">
        <f>raw!G117</f>
        <v>46114</v>
      </c>
      <c r="H74" s="54" t="str">
        <f>raw!H117</f>
        <v>Praveen on Ray's Behalf</v>
      </c>
      <c r="I74" s="54">
        <f>raw!I117</f>
        <v>0</v>
      </c>
      <c r="J74" s="54" t="str">
        <f>raw!J117</f>
        <v>Bug</v>
      </c>
      <c r="K74" s="54" t="str">
        <f>raw!K117</f>
        <v>P3</v>
      </c>
      <c r="L74" s="54">
        <f>raw!L117</f>
        <v>0</v>
      </c>
      <c r="M74" s="54" t="str">
        <f>raw!M117</f>
        <v>Fixed after we received feedback during Demo 3. Will be available in Patch 1</v>
      </c>
      <c r="N74" s="54">
        <f>raw!N117</f>
        <v>0</v>
      </c>
      <c r="O74" s="54" t="str">
        <f>raw!O117</f>
        <v>High</v>
      </c>
      <c r="P74" s="54">
        <f>raw!P117</f>
        <v>0</v>
      </c>
      <c r="Q74" s="54">
        <f>raw!Q117</f>
        <v>0</v>
      </c>
      <c r="R74" s="54" t="str" cm="1">
        <f t="array" ref="R74">_xlfn.LET(_xlpm.txt,LOWER(B74&amp;" "&amp;C74&amp;" "&amp;F74&amp;" "&amp;M74&amp;" "&amp;O74),_xlfn.IFS(OR(IFERROR(SEARCH("diw",_xlpm.txt),0)&gt;0,IFERROR(SEARCH("cost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4" s="54" t="str" cm="1">
        <f t="array" ref="S74">_xlfn.LET(_xlpm.txt,LOWER(B74&amp;" "&amp;C74&amp;" "&amp;F74&amp;" "&amp;M74&amp;" "&amp;O74),_xlfn.IFS(IFERROR(SEARCH("diw",_xlpm.txt),0)&gt;0,"diw",IFERROR(SEARCH("cost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swap</v>
      </c>
      <c r="T74" s="54" t="s">
        <v>102</v>
      </c>
    </row>
    <row r="75" spans="1:20" ht="85.5" x14ac:dyDescent="0.45">
      <c r="A75" s="54">
        <f>raw!A136</f>
        <v>92</v>
      </c>
      <c r="B75" s="54" t="str">
        <f>raw!B136</f>
        <v>Planner - Create Streamer</v>
      </c>
      <c r="C75" s="54" t="str">
        <f>raw!C136</f>
        <v>System</v>
      </c>
      <c r="D75" s="54" t="str">
        <f>raw!D136</f>
        <v>Must</v>
      </c>
      <c r="E75" s="54" t="str">
        <f>raw!E136</f>
        <v>Bug</v>
      </c>
      <c r="F75" s="54" t="str">
        <f>_xlfn.TEXTJOIN(CHAR(10),TRUE,raw!F136:F138)</f>
        <v>1. The “Dispatch Module S/N” cannot be changed (again).
2. Please add a Back function next to Save.
3. Please sort the “Module ATA”.</v>
      </c>
      <c r="G75" s="55">
        <f>raw!G136</f>
        <v>46118</v>
      </c>
      <c r="H75" s="54" t="str">
        <f>raw!H136</f>
        <v>Ricky</v>
      </c>
      <c r="I75" s="54" t="str">
        <f>raw!I136</f>
        <v>Refer to Screen Capture</v>
      </c>
      <c r="J75" s="54" t="str">
        <f>raw!J136</f>
        <v>None</v>
      </c>
      <c r="K75" s="54">
        <f>raw!K136</f>
        <v>0</v>
      </c>
      <c r="L75" s="54">
        <f>raw!L136</f>
        <v>0</v>
      </c>
      <c r="M75" s="54" t="str">
        <f>_xlfn.TEXTJOIN(CHAR(10),TRUE,raw!M136:M138)</f>
        <v xml:space="preserve">1. Dispatch module is not editable as text. It should be selected from off-module list
2. As per design
3. In Create Streamer page, it is sorted as per Module ATA and it needs to be sorted in Preview screen </v>
      </c>
      <c r="N75" s="54">
        <f>raw!N136</f>
        <v>0</v>
      </c>
      <c r="O75" s="54" t="str">
        <f>_xlfn.TEXTJOIN(CHAR(10),TRUE,raw!O136:O138)</f>
        <v>Low</v>
      </c>
      <c r="P75" s="54">
        <f>raw!P136</f>
        <v>0</v>
      </c>
      <c r="Q75" s="54">
        <f>raw!Q136</f>
        <v>0</v>
      </c>
      <c r="R75" s="54" t="str" cm="1">
        <f t="array" ref="R75">_xlfn.LET(_xlpm.txt,LOWER(B75&amp;" "&amp;C75&amp;" "&amp;F75&amp;" "&amp;M75&amp;" "&amp;O75),_xlfn.IFS(OR(IFERROR(SEARCH("diw",_xlpm.txt),0)&gt;0,IFERROR(SEARCH("cost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5" s="54" t="str" cm="1">
        <f t="array" ref="S75">_xlfn.LET(_xlpm.txt,LOWER(B75&amp;" "&amp;C75&amp;" "&amp;F75&amp;" "&amp;M75&amp;" "&amp;O75),_xlfn.IFS(IFERROR(SEARCH("diw",_xlpm.txt),0)&gt;0,"diw",IFERROR(SEARCH("cost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off-module</v>
      </c>
      <c r="T75" s="54" t="s">
        <v>63</v>
      </c>
    </row>
    <row r="76" spans="1:20" ht="28.5" x14ac:dyDescent="0.45">
      <c r="A76" s="54">
        <f>raw!A182</f>
        <v>109</v>
      </c>
      <c r="B76" s="54" t="str">
        <f>raw!B182</f>
        <v>Create Streamer</v>
      </c>
      <c r="C76" s="54" t="str">
        <f>raw!C182</f>
        <v>System</v>
      </c>
      <c r="D76" s="54" t="str">
        <f>raw!D182</f>
        <v>Must</v>
      </c>
      <c r="E76" s="54" t="str">
        <f>raw!E182</f>
        <v>None</v>
      </c>
      <c r="F76" s="54" t="str">
        <f>raw!F182</f>
        <v>All "Dispatch Module S/N" set to RETAIN, remove the "Set to Default" button in swap module pop up page</v>
      </c>
      <c r="G76" s="55">
        <f>raw!G182</f>
        <v>46121</v>
      </c>
      <c r="H76" s="54" t="str">
        <f>raw!H182</f>
        <v>Ray</v>
      </c>
      <c r="I76" s="54" t="str">
        <f>raw!I182</f>
        <v>N/A</v>
      </c>
      <c r="J76" s="54" t="str">
        <f>raw!J182</f>
        <v>None</v>
      </c>
      <c r="K76" s="54">
        <f>raw!K182</f>
        <v>0</v>
      </c>
      <c r="L76" s="54">
        <f>raw!L182</f>
        <v>0</v>
      </c>
      <c r="M76" s="54">
        <f>raw!M182</f>
        <v>0</v>
      </c>
      <c r="N76" s="54">
        <f>raw!N182</f>
        <v>0</v>
      </c>
      <c r="O76" s="54" t="str">
        <f>raw!O182</f>
        <v>Medium, design fault</v>
      </c>
      <c r="P76" s="54">
        <f>raw!P182</f>
        <v>0</v>
      </c>
      <c r="Q76" s="54">
        <f>raw!Q182</f>
        <v>0</v>
      </c>
      <c r="R76" s="54" t="str" cm="1">
        <f t="array" ref="R76">_xlfn.LET(_xlpm.txt,LOWER(B76&amp;" "&amp;C76&amp;" "&amp;F76&amp;" "&amp;M76&amp;" "&amp;O76),_xlfn.IFS(OR(IFERROR(SEARCH("diw",_xlpm.txt),0)&gt;0,IFERROR(SEARCH("cost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6" s="54" t="str" cm="1">
        <f t="array" ref="S76">_xlfn.LET(_xlpm.txt,LOWER(B76&amp;" "&amp;C76&amp;" "&amp;F76&amp;" "&amp;M76&amp;" "&amp;O76),_xlfn.IFS(IFERROR(SEARCH("diw",_xlpm.txt),0)&gt;0,"diw",IFERROR(SEARCH("cost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swap</v>
      </c>
      <c r="T76" s="54" t="s">
        <v>48</v>
      </c>
    </row>
    <row r="77" spans="1:20" ht="71.25" x14ac:dyDescent="0.45">
      <c r="A77" s="54">
        <f>raw!A205</f>
        <v>126</v>
      </c>
      <c r="B77" s="54" t="str">
        <f>raw!B205</f>
        <v>Off-module list &gt; Export</v>
      </c>
      <c r="C77" s="54" t="str">
        <f>raw!C205</f>
        <v>System</v>
      </c>
      <c r="D77" s="54" t="str">
        <f>raw!D205</f>
        <v>Should</v>
      </c>
      <c r="E77" s="54" t="str">
        <f>raw!E205</f>
        <v>Enhancement</v>
      </c>
      <c r="F77" s="54" t="str">
        <f>_xlfn.TEXTJOIN(CHAR(10),TRUE,raw!F205:F206)</f>
        <v>To align with other export function, please add the export to PDF &amp; CSV with the columns included:
| Module Name | Module Status | Module ATA | Module SN | Work Level | Engine Type | Cust. Code | Sales Order | Induction Date | Module Build Date | To ESN | Ex ESN | Return to Cust | Reduce to Parts |</v>
      </c>
      <c r="G77" s="55">
        <f>raw!G205</f>
        <v>46127</v>
      </c>
      <c r="H77" s="54" t="str">
        <f>raw!H205</f>
        <v>Chris</v>
      </c>
      <c r="I77" s="54">
        <f>raw!I205</f>
        <v>0</v>
      </c>
      <c r="J77" s="54">
        <f>raw!J205</f>
        <v>0</v>
      </c>
      <c r="K77" s="54">
        <f>raw!K205</f>
        <v>0</v>
      </c>
      <c r="L77" s="54">
        <f>raw!L205</f>
        <v>0</v>
      </c>
      <c r="M77" s="54" t="str">
        <f>_xlfn.TEXTJOIN(CHAR(10),TRUE,raw!M205:M206)</f>
        <v/>
      </c>
      <c r="N77" s="54">
        <f>raw!N205</f>
        <v>0</v>
      </c>
      <c r="O77" s="54" t="str">
        <f>_xlfn.TEXTJOIN(CHAR(10),TRUE,raw!O205:O206)</f>
        <v>Low, but performance issue</v>
      </c>
      <c r="P77" s="54">
        <f>raw!P205</f>
        <v>0</v>
      </c>
      <c r="Q77" s="54">
        <f>raw!Q205</f>
        <v>0</v>
      </c>
      <c r="R77" s="54" t="str" cm="1">
        <f t="array" ref="R77">_xlfn.LET(_xlpm.txt,LOWER(B77&amp;" "&amp;C77&amp;" "&amp;F77&amp;" "&amp;M77&amp;" "&amp;O77),_xlfn.IFS(OR(IFERROR(SEARCH("diw",_xlpm.txt),0)&gt;0,IFERROR(SEARCH("cost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Swap Module</v>
      </c>
      <c r="S77" s="54" t="str" cm="1">
        <f t="array" ref="S77">_xlfn.LET(_xlpm.txt,LOWER(B77&amp;" "&amp;C77&amp;" "&amp;F77&amp;" "&amp;M77&amp;" "&amp;O77),_xlfn.IFS(IFERROR(SEARCH("diw",_xlpm.txt),0)&gt;0,"diw",IFERROR(SEARCH("cost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off-module</v>
      </c>
      <c r="T77" s="54" t="s">
        <v>63</v>
      </c>
    </row>
    <row r="78" spans="1:20" ht="42.75" hidden="1" x14ac:dyDescent="0.45">
      <c r="A78" s="54">
        <f>raw!A2</f>
        <v>1</v>
      </c>
      <c r="B78" s="54" t="str">
        <f>raw!B2</f>
        <v>Admin - Task Owner Setting</v>
      </c>
      <c r="C78" s="54" t="str">
        <f>raw!C2</f>
        <v>System</v>
      </c>
      <c r="D78" s="54" t="str">
        <f>raw!D2</f>
        <v>Must</v>
      </c>
      <c r="E78" s="54" t="str">
        <f>raw!E2</f>
        <v>Bug</v>
      </c>
      <c r="F78" s="54" t="str">
        <f>raw!F2</f>
        <v>Duplicate User show in the list when click "MR"</v>
      </c>
      <c r="G78" s="55">
        <f>raw!G2</f>
        <v>46097</v>
      </c>
      <c r="H78" s="54" t="str">
        <f>raw!H2</f>
        <v>Ray</v>
      </c>
      <c r="I78" s="54" t="str">
        <f>raw!I2</f>
        <v>Refer to Screen Capture</v>
      </c>
      <c r="J78" s="54" t="str">
        <f>raw!J2</f>
        <v>Bug</v>
      </c>
      <c r="K78" s="54" t="str">
        <f>raw!K2</f>
        <v>P4</v>
      </c>
      <c r="L78" s="54">
        <f>raw!L2</f>
        <v>0</v>
      </c>
      <c r="M78" s="54" t="str">
        <f>raw!M2</f>
        <v>Suspecting this can be observed when two users performing same operation at atime. Not able to reproduce it in dev by single user</v>
      </c>
      <c r="N78" s="54">
        <f>raw!N2</f>
        <v>0</v>
      </c>
      <c r="O78" s="54" t="str">
        <f>raw!O2</f>
        <v>Low, no issue now</v>
      </c>
      <c r="P78" s="54">
        <f>raw!P2</f>
        <v>0</v>
      </c>
      <c r="Q78" s="54" t="str">
        <f>raw!Q2</f>
        <v>Fixed</v>
      </c>
      <c r="R78" s="54" t="str" cm="1">
        <f t="array" ref="R78">_xlfn.LET(_xlpm.txt,LOWER(B78&amp;" "&amp;C78&amp;" "&amp;F78&amp;" "&amp;M78&amp;" "&amp;O78),_xlfn.IFS(OR(IFERROR(SEARCH("diw",_xlpm.txt),0)&gt;0,IFERROR(SEARCH("cost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78" s="54" t="str" cm="1">
        <f t="array" ref="S78">_xlfn.LET(_xlpm.txt,LOWER(B78&amp;" "&amp;C78&amp;" "&amp;F78&amp;" "&amp;M78&amp;" "&amp;O78),_xlfn.IFS(IFERROR(SEARCH("diw",_xlpm.txt),0)&gt;0,"diw",IFERROR(SEARCH("cost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78" s="54" t="s">
        <v>63</v>
      </c>
    </row>
    <row r="79" spans="1:20" ht="28.5" hidden="1" x14ac:dyDescent="0.45">
      <c r="A79" s="54">
        <f>raw!A9</f>
        <v>7</v>
      </c>
      <c r="B79" s="54" t="str">
        <f>raw!B9</f>
        <v>Planner - Task</v>
      </c>
      <c r="C79" s="54" t="str">
        <f>raw!C9</f>
        <v>UI</v>
      </c>
      <c r="D79" s="54" t="str">
        <f>raw!D9</f>
        <v>Should</v>
      </c>
      <c r="E79" s="54" t="str">
        <f>raw!E9</f>
        <v>Bug</v>
      </c>
      <c r="F79" s="54" t="str">
        <f>raw!F9</f>
        <v>The table cells borders is not align</v>
      </c>
      <c r="G79" s="55">
        <f>raw!G9</f>
        <v>46098</v>
      </c>
      <c r="H79" s="54" t="str">
        <f>raw!H9</f>
        <v>Ray</v>
      </c>
      <c r="I79" s="54" t="str">
        <f>raw!I9</f>
        <v>Refer to Screen Capture</v>
      </c>
      <c r="J79" s="54" t="str">
        <f>raw!J9</f>
        <v>Bug</v>
      </c>
      <c r="K79" s="54" t="str">
        <f>raw!K9</f>
        <v>P4</v>
      </c>
      <c r="L79" s="54">
        <f>raw!L9</f>
        <v>0</v>
      </c>
      <c r="M79" s="54" t="str">
        <f>raw!M9</f>
        <v>Working with Syncfusion on it</v>
      </c>
      <c r="N79" s="54">
        <f>raw!N9</f>
        <v>0</v>
      </c>
      <c r="O79" s="54" t="str">
        <f>raw!O9</f>
        <v>Low, not yet fixed</v>
      </c>
      <c r="P79" s="54">
        <f>raw!P9</f>
        <v>0</v>
      </c>
      <c r="Q79" s="54" t="str">
        <f>raw!Q9</f>
        <v>Not yet fix</v>
      </c>
      <c r="R79" s="54" t="str" cm="1">
        <f t="array" ref="R79">_xlfn.LET(_xlpm.txt,LOWER(B79&amp;" "&amp;C79&amp;" "&amp;F79&amp;" "&amp;M79&amp;" "&amp;O79),_xlfn.IFS(OR(IFERROR(SEARCH("diw",_xlpm.txt),0)&gt;0,IFERROR(SEARCH("cost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79" s="54" t="str" cm="1">
        <f t="array" ref="S79">_xlfn.LET(_xlpm.txt,LOWER(B79&amp;" "&amp;C79&amp;" "&amp;F79&amp;" "&amp;M79&amp;" "&amp;O79),_xlfn.IFS(IFERROR(SEARCH("diw",_xlpm.txt),0)&gt;0,"diw",IFERROR(SEARCH("cost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79" s="54" t="s">
        <v>63</v>
      </c>
    </row>
    <row r="80" spans="1:20" ht="28.5" hidden="1" x14ac:dyDescent="0.45">
      <c r="A80" s="54">
        <f>raw!A10</f>
        <v>8</v>
      </c>
      <c r="B80" s="54" t="str">
        <f>raw!B10</f>
        <v>Planner - Task</v>
      </c>
      <c r="C80" s="54" t="str">
        <f>raw!C10</f>
        <v>System</v>
      </c>
      <c r="D80" s="54" t="str">
        <f>raw!D10</f>
        <v>Must</v>
      </c>
      <c r="E80" s="54" t="str">
        <f>raw!E10</f>
        <v>Bug</v>
      </c>
      <c r="F80" s="54" t="str">
        <f>raw!F10</f>
        <v>Showing unexpected date range after filter</v>
      </c>
      <c r="G80" s="55">
        <f>raw!G10</f>
        <v>46098</v>
      </c>
      <c r="H80" s="54" t="str">
        <f>raw!H10</f>
        <v>Ray</v>
      </c>
      <c r="I80" s="54" t="str">
        <f>raw!I10</f>
        <v>Refer to Screen Capture</v>
      </c>
      <c r="J80" s="54" t="str">
        <f>raw!J10</f>
        <v>None</v>
      </c>
      <c r="K80" s="54">
        <f>raw!K10</f>
        <v>0</v>
      </c>
      <c r="L80" s="54">
        <f>raw!L10</f>
        <v>0</v>
      </c>
      <c r="M80" s="54">
        <f>raw!M10</f>
        <v>0</v>
      </c>
      <c r="N80" s="54">
        <f>raw!N10</f>
        <v>0</v>
      </c>
      <c r="O80" s="54" t="str">
        <f>raw!O10</f>
        <v>High, function disappeared</v>
      </c>
      <c r="P80" s="54">
        <f>raw!P10</f>
        <v>0</v>
      </c>
      <c r="Q80" s="54" t="str">
        <f>raw!Q10</f>
        <v>Not yet fix</v>
      </c>
      <c r="R80" s="54" t="str" cm="1">
        <f t="array" ref="R80">_xlfn.LET(_xlpm.txt,LOWER(B80&amp;" "&amp;C80&amp;" "&amp;F80&amp;" "&amp;M80&amp;" "&amp;O80),_xlfn.IFS(OR(IFERROR(SEARCH("diw",_xlpm.txt),0)&gt;0,IFERROR(SEARCH("cost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0" s="54" t="str" cm="1">
        <f t="array" ref="S80">_xlfn.LET(_xlpm.txt,LOWER(B80&amp;" "&amp;C80&amp;" "&amp;F80&amp;" "&amp;M80&amp;" "&amp;O80),_xlfn.IFS(IFERROR(SEARCH("diw",_xlpm.txt),0)&gt;0,"diw",IFERROR(SEARCH("cost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0" s="54" t="s">
        <v>102</v>
      </c>
    </row>
    <row r="81" spans="1:20" ht="42" hidden="1" customHeight="1" x14ac:dyDescent="0.45">
      <c r="A81" s="54">
        <f>raw!A11</f>
        <v>9</v>
      </c>
      <c r="B81" s="54" t="str">
        <f>raw!B11</f>
        <v>Planner - Task</v>
      </c>
      <c r="C81" s="54" t="str">
        <f>raw!C11</f>
        <v>System</v>
      </c>
      <c r="D81" s="54" t="str">
        <f>raw!D11</f>
        <v>Must</v>
      </c>
      <c r="E81" s="54" t="str">
        <f>raw!E11</f>
        <v>Rework</v>
      </c>
      <c r="F81" s="54" t="str">
        <f>raw!F11</f>
        <v>Missing implement of Post UAT item U08</v>
      </c>
      <c r="G81" s="55">
        <f>raw!G11</f>
        <v>46098</v>
      </c>
      <c r="H81" s="54" t="str">
        <f>raw!H11</f>
        <v>Ray</v>
      </c>
      <c r="I81" s="54" t="str">
        <f>raw!I11</f>
        <v>Refer to Screen Capture</v>
      </c>
      <c r="J81" s="54" t="str">
        <f>raw!J11</f>
        <v>None</v>
      </c>
      <c r="K81" s="54">
        <f>raw!K11</f>
        <v>0</v>
      </c>
      <c r="L81" s="54">
        <f>raw!L11</f>
        <v>0</v>
      </c>
      <c r="M81" s="54">
        <f>raw!M11</f>
        <v>0</v>
      </c>
      <c r="N81" s="54">
        <f>raw!N11</f>
        <v>0</v>
      </c>
      <c r="O81" s="54" t="str">
        <f>raw!O11</f>
        <v>Removed</v>
      </c>
      <c r="P81" s="54">
        <f>raw!P11</f>
        <v>0</v>
      </c>
      <c r="Q81" s="54" t="str">
        <f>raw!Q11</f>
        <v>Closed</v>
      </c>
      <c r="R81" s="54" t="str" cm="1">
        <f t="array" ref="R81">_xlfn.LET(_xlpm.txt,LOWER(B81&amp;" "&amp;C81&amp;" "&amp;F81&amp;" "&amp;M81&amp;" "&amp;O81),_xlfn.IFS(OR(IFERROR(SEARCH("diw",_xlpm.txt),0)&gt;0,IFERROR(SEARCH("cost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1" s="54" t="str" cm="1">
        <f t="array" ref="S81">_xlfn.LET(_xlpm.txt,LOWER(B81&amp;" "&amp;C81&amp;" "&amp;F81&amp;" "&amp;M81&amp;" "&amp;O81),_xlfn.IFS(IFERROR(SEARCH("diw",_xlpm.txt),0)&gt;0,"diw",IFERROR(SEARCH("cost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1" s="54" t="s">
        <v>59</v>
      </c>
    </row>
    <row r="82" spans="1:20" ht="28.5" hidden="1" x14ac:dyDescent="0.45">
      <c r="A82" s="54">
        <f>raw!A14</f>
        <v>12</v>
      </c>
      <c r="B82" s="54" t="str">
        <f>raw!B14</f>
        <v>Admin - Template Create - Task Selection</v>
      </c>
      <c r="C82" s="54" t="str">
        <f>raw!C14</f>
        <v>System</v>
      </c>
      <c r="D82" s="54" t="str">
        <f>raw!D14</f>
        <v>Must</v>
      </c>
      <c r="E82" s="54" t="str">
        <f>raw!E14</f>
        <v>None</v>
      </c>
      <c r="F82" s="54" t="str">
        <f>raw!F14</f>
        <v>For Module Level tasks (Items 5, 9, 15, 32, 33, and 39), updating the top‑level item should also update the sub‑tasks automatically.</v>
      </c>
      <c r="G82" s="55">
        <f>raw!G14</f>
        <v>46098</v>
      </c>
      <c r="H82" s="54" t="str">
        <f>raw!H14</f>
        <v>Edmond</v>
      </c>
      <c r="I82" s="54" t="str">
        <f>raw!I14</f>
        <v>Refer to Screen Capture</v>
      </c>
      <c r="J82" s="54" t="str">
        <f>raw!J14</f>
        <v>None</v>
      </c>
      <c r="K82" s="54">
        <f>raw!K14</f>
        <v>0</v>
      </c>
      <c r="L82" s="54">
        <f>raw!L14</f>
        <v>0</v>
      </c>
      <c r="M82" s="54" t="str">
        <f>raw!M14</f>
        <v>No action</v>
      </c>
      <c r="N82" s="54">
        <f>raw!N14</f>
        <v>0</v>
      </c>
      <c r="O82" s="54" t="str">
        <f>raw!O14</f>
        <v>High, operational risk</v>
      </c>
      <c r="P82" s="54">
        <f>raw!P14</f>
        <v>0</v>
      </c>
      <c r="Q82" s="54" t="str">
        <f>raw!Q14</f>
        <v>Fixed</v>
      </c>
      <c r="R82" s="54" t="str" cm="1">
        <f t="array" ref="R82">_xlfn.LET(_xlpm.txt,LOWER(B82&amp;" "&amp;C82&amp;" "&amp;F82&amp;" "&amp;M82&amp;" "&amp;O82),_xlfn.IFS(OR(IFERROR(SEARCH("diw",_xlpm.txt),0)&gt;0,IFERROR(SEARCH("cost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2" s="54" t="str" cm="1">
        <f t="array" ref="S82">_xlfn.LET(_xlpm.txt,LOWER(B82&amp;" "&amp;C82&amp;" "&amp;F82&amp;" "&amp;M82&amp;" "&amp;O82),_xlfn.IFS(IFERROR(SEARCH("diw",_xlpm.txt),0)&gt;0,"diw",IFERROR(SEARCH("cost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2" s="54" t="s">
        <v>102</v>
      </c>
    </row>
    <row r="83" spans="1:20" ht="28.5" hidden="1" x14ac:dyDescent="0.45">
      <c r="A83" s="54">
        <f>raw!A28</f>
        <v>21</v>
      </c>
      <c r="B83" s="54" t="str">
        <f>raw!B28</f>
        <v>Planner - Create Streamer</v>
      </c>
      <c r="C83" s="54" t="str">
        <f>raw!C28</f>
        <v>System</v>
      </c>
      <c r="D83" s="54" t="str">
        <f>raw!D28</f>
        <v>Must</v>
      </c>
      <c r="E83" s="54" t="str">
        <f>raw!E28</f>
        <v>Bug</v>
      </c>
      <c r="F83" s="54" t="str">
        <f>raw!F28</f>
        <v>When create streamer, module level  task was unexpected disabled.</v>
      </c>
      <c r="G83" s="55">
        <f>raw!G28</f>
        <v>46098</v>
      </c>
      <c r="H83" s="54" t="str">
        <f>raw!H28</f>
        <v>Ray</v>
      </c>
      <c r="I83" s="54" t="str">
        <f>raw!I28</f>
        <v>Refer to Screen Capture</v>
      </c>
      <c r="J83" s="54" t="str">
        <f>raw!J28</f>
        <v>Bug</v>
      </c>
      <c r="K83" s="54" t="str">
        <f>raw!K28</f>
        <v>P4</v>
      </c>
      <c r="L83" s="54">
        <f>raw!L28</f>
        <v>0</v>
      </c>
      <c r="M83" s="54" t="str">
        <f>raw!M28</f>
        <v>Need additional information</v>
      </c>
      <c r="N83" s="54">
        <f>raw!N28</f>
        <v>0</v>
      </c>
      <c r="O83" s="54" t="str">
        <f>raw!O28</f>
        <v>Closed</v>
      </c>
      <c r="P83" s="54">
        <f>raw!P28</f>
        <v>0</v>
      </c>
      <c r="Q83" s="54" t="str">
        <f>raw!Q28</f>
        <v>Closed</v>
      </c>
      <c r="R83" s="54" t="str" cm="1">
        <f t="array" ref="R83">_xlfn.LET(_xlpm.txt,LOWER(B83&amp;" "&amp;C83&amp;" "&amp;F83&amp;" "&amp;M83&amp;" "&amp;O83),_xlfn.IFS(OR(IFERROR(SEARCH("diw",_xlpm.txt),0)&gt;0,IFERROR(SEARCH("cost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3" s="54" t="str" cm="1">
        <f t="array" ref="S83">_xlfn.LET(_xlpm.txt,LOWER(B83&amp;" "&amp;C83&amp;" "&amp;F83&amp;" "&amp;M83&amp;" "&amp;O83),_xlfn.IFS(IFERROR(SEARCH("diw",_xlpm.txt),0)&gt;0,"diw",IFERROR(SEARCH("cost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3" s="54" t="s">
        <v>60</v>
      </c>
    </row>
    <row r="84" spans="1:20" ht="42.75" hidden="1" x14ac:dyDescent="0.45">
      <c r="A84" s="54">
        <f>raw!A29</f>
        <v>22</v>
      </c>
      <c r="B84" s="54" t="str">
        <f>raw!B29</f>
        <v>Admin - Gate Setting, Module Setting &amp; Task Setting</v>
      </c>
      <c r="C84" s="54" t="str">
        <f>raw!C29</f>
        <v>System</v>
      </c>
      <c r="D84" s="54" t="str">
        <f>raw!D29</f>
        <v>Must</v>
      </c>
      <c r="E84" s="54" t="str">
        <f>raw!E29</f>
        <v>Bug</v>
      </c>
      <c r="F84" s="54" t="str">
        <f>raw!F29</f>
        <v>The gate setting or module setting change, the template won't have any update. e.g. I delete the Gate 1B, but the Gate 1B still in the template. All the setting should be synchronize.</v>
      </c>
      <c r="G84" s="55">
        <f>raw!G29</f>
        <v>46098</v>
      </c>
      <c r="H84" s="54" t="str">
        <f>raw!H29</f>
        <v>Ray</v>
      </c>
      <c r="I84" s="54" t="str">
        <f>raw!I29</f>
        <v>Refer to Screen Capture</v>
      </c>
      <c r="J84" s="54" t="str">
        <f>raw!J29</f>
        <v>None</v>
      </c>
      <c r="K84" s="54">
        <f>raw!K29</f>
        <v>0</v>
      </c>
      <c r="L84" s="54">
        <f>raw!L29</f>
        <v>0</v>
      </c>
      <c r="M84" s="54" t="str">
        <f>raw!M29</f>
        <v>As per requirement</v>
      </c>
      <c r="N84" s="54">
        <f>raw!N29</f>
        <v>0</v>
      </c>
      <c r="O84" s="54" t="str">
        <f>raw!O29</f>
        <v>High</v>
      </c>
      <c r="P84" s="54">
        <f>raw!P29</f>
        <v>0</v>
      </c>
      <c r="Q84" s="54" t="str">
        <f>raw!Q29</f>
        <v>Fixed</v>
      </c>
      <c r="R84" s="54" t="str" cm="1">
        <f t="array" ref="R84">_xlfn.LET(_xlpm.txt,LOWER(B84&amp;" "&amp;C84&amp;" "&amp;F84&amp;" "&amp;M84&amp;" "&amp;O84),_xlfn.IFS(OR(IFERROR(SEARCH("diw",_xlpm.txt),0)&gt;0,IFERROR(SEARCH("cost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4" s="54" t="str" cm="1">
        <f t="array" ref="S84">_xlfn.LET(_xlpm.txt,LOWER(B84&amp;" "&amp;C84&amp;" "&amp;F84&amp;" "&amp;M84&amp;" "&amp;O84),_xlfn.IFS(IFERROR(SEARCH("diw",_xlpm.txt),0)&gt;0,"diw",IFERROR(SEARCH("cost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4" s="54" t="s">
        <v>102</v>
      </c>
    </row>
    <row r="85" spans="1:20" ht="28.5" hidden="1" x14ac:dyDescent="0.45">
      <c r="A85" s="54">
        <f>raw!A30</f>
        <v>23</v>
      </c>
      <c r="B85" s="54" t="str">
        <f>raw!B30</f>
        <v>Tasks</v>
      </c>
      <c r="C85" s="54" t="str">
        <f>raw!C30</f>
        <v>System</v>
      </c>
      <c r="D85" s="54" t="str">
        <f>raw!D30</f>
        <v>Must</v>
      </c>
      <c r="E85" s="54" t="str">
        <f>raw!E30</f>
        <v>Bug</v>
      </c>
      <c r="F85" s="54" t="str">
        <f>raw!F30</f>
        <v>Unexpected error after input ACD for the task and press save.</v>
      </c>
      <c r="G85" s="55">
        <f>raw!G30</f>
        <v>46098</v>
      </c>
      <c r="H85" s="54" t="str">
        <f>raw!H30</f>
        <v>Ray</v>
      </c>
      <c r="I85" s="54" t="str">
        <f>raw!I30</f>
        <v>Refer to Screen Capture</v>
      </c>
      <c r="J85" s="54" t="str">
        <f>raw!J30</f>
        <v>Bug</v>
      </c>
      <c r="K85" s="54" t="str">
        <f>raw!K30</f>
        <v>P4</v>
      </c>
      <c r="L85" s="54">
        <f>raw!L30</f>
        <v>0</v>
      </c>
      <c r="M85" s="54" t="str">
        <f>raw!M30</f>
        <v>Unable to produce bug, Additional information needed</v>
      </c>
      <c r="N85" s="54">
        <f>raw!N30</f>
        <v>0</v>
      </c>
      <c r="O85" s="54" t="str">
        <f>raw!O30</f>
        <v>high, fixed</v>
      </c>
      <c r="P85" s="54">
        <f>raw!P30</f>
        <v>0</v>
      </c>
      <c r="Q85" s="54" t="str">
        <f>raw!Q30</f>
        <v>Fixed</v>
      </c>
      <c r="R85" s="54" t="str" cm="1">
        <f t="array" ref="R85">_xlfn.LET(_xlpm.txt,LOWER(B85&amp;" "&amp;C85&amp;" "&amp;F85&amp;" "&amp;M85&amp;" "&amp;O85),_xlfn.IFS(OR(IFERROR(SEARCH("diw",_xlpm.txt),0)&gt;0,IFERROR(SEARCH("cost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5" s="54" t="str" cm="1">
        <f t="array" ref="S85">_xlfn.LET(_xlpm.txt,LOWER(B85&amp;" "&amp;C85&amp;" "&amp;F85&amp;" "&amp;M85&amp;" "&amp;O85),_xlfn.IFS(IFERROR(SEARCH("diw",_xlpm.txt),0)&gt;0,"diw",IFERROR(SEARCH("cost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ACD</v>
      </c>
      <c r="T85" s="54" t="s">
        <v>465</v>
      </c>
    </row>
    <row r="86" spans="1:20" ht="28.5" hidden="1" x14ac:dyDescent="0.45">
      <c r="A86" s="54">
        <f>raw!A33</f>
        <v>26</v>
      </c>
      <c r="B86" s="54" t="str">
        <f>raw!B33</f>
        <v>Tasks</v>
      </c>
      <c r="C86" s="54" t="str">
        <f>raw!C33</f>
        <v>System</v>
      </c>
      <c r="D86" s="54" t="str">
        <f>raw!D33</f>
        <v>Must</v>
      </c>
      <c r="E86" s="54" t="str">
        <f>raw!E33</f>
        <v>Bug</v>
      </c>
      <c r="F86" s="54" t="str">
        <f>raw!F33</f>
        <v>After enter a late PCD, the reason for delay list is nothing inside</v>
      </c>
      <c r="G86" s="55">
        <f>raw!G33</f>
        <v>46098</v>
      </c>
      <c r="H86" s="54" t="str">
        <f>raw!H33</f>
        <v>Ray</v>
      </c>
      <c r="I86" s="54" t="str">
        <f>raw!I33</f>
        <v>Refer to Screen Capture</v>
      </c>
      <c r="J86" s="54" t="str">
        <f>raw!J33</f>
        <v>Bug</v>
      </c>
      <c r="K86" s="54" t="str">
        <f>raw!K33</f>
        <v>P3</v>
      </c>
      <c r="L86" s="54">
        <f>raw!L33</f>
        <v>0</v>
      </c>
      <c r="M86" s="54" t="str">
        <f>raw!M33</f>
        <v>Fixed</v>
      </c>
      <c r="N86" s="54">
        <f>raw!N33</f>
        <v>0</v>
      </c>
      <c r="O86" s="54" t="str">
        <f>raw!O33</f>
        <v>High, bug</v>
      </c>
      <c r="P86" s="54">
        <f>raw!P33</f>
        <v>0</v>
      </c>
      <c r="Q86" s="54" t="str">
        <f>raw!Q33</f>
        <v>Fixed</v>
      </c>
      <c r="R86" s="54" t="str" cm="1">
        <f t="array" ref="R86">_xlfn.LET(_xlpm.txt,LOWER(B86&amp;" "&amp;C86&amp;" "&amp;F86&amp;" "&amp;M86&amp;" "&amp;O86),_xlfn.IFS(OR(IFERROR(SEARCH("diw",_xlpm.txt),0)&gt;0,IFERROR(SEARCH("cost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6" s="54" t="str" cm="1">
        <f t="array" ref="S86">_xlfn.LET(_xlpm.txt,LOWER(B86&amp;" "&amp;C86&amp;" "&amp;F86&amp;" "&amp;M86&amp;" "&amp;O86),_xlfn.IFS(IFERROR(SEARCH("diw",_xlpm.txt),0)&gt;0,"diw",IFERROR(SEARCH("cost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PCD</v>
      </c>
      <c r="T86" s="54" t="s">
        <v>102</v>
      </c>
    </row>
    <row r="87" spans="1:20" ht="42.75" hidden="1" x14ac:dyDescent="0.45">
      <c r="A87" s="54">
        <f>raw!A34</f>
        <v>27</v>
      </c>
      <c r="B87" s="54" t="str">
        <f>raw!B34</f>
        <v>Tasks - Task Owner Filter</v>
      </c>
      <c r="C87" s="54" t="str">
        <f>raw!C34</f>
        <v>System</v>
      </c>
      <c r="D87" s="54" t="str">
        <f>raw!D34</f>
        <v>Must</v>
      </c>
      <c r="E87" s="54" t="str">
        <f>raw!E34</f>
        <v>Bug</v>
      </c>
      <c r="F87" s="54" t="str">
        <f>raw!F34</f>
        <v>The Task Owner drop-down list is not syncing with the latest Task Owner settings in Admin. Please update the list items and sort them in alphabetical order.</v>
      </c>
      <c r="G87" s="55">
        <f>raw!G34</f>
        <v>46099</v>
      </c>
      <c r="H87" s="54" t="str">
        <f>raw!H34</f>
        <v>Ray</v>
      </c>
      <c r="I87" s="54" t="str">
        <f>raw!I34</f>
        <v>Refer to Screen Capture</v>
      </c>
      <c r="J87" s="54" t="str">
        <f>raw!J34</f>
        <v>Bug</v>
      </c>
      <c r="K87" s="54" t="str">
        <f>raw!K34</f>
        <v>P4</v>
      </c>
      <c r="L87" s="54">
        <f>raw!L34</f>
        <v>0</v>
      </c>
      <c r="M87" s="54" t="str">
        <f>raw!M34</f>
        <v>Needs to be synced</v>
      </c>
      <c r="N87" s="54">
        <f>raw!N34</f>
        <v>0</v>
      </c>
      <c r="O87" s="54" t="str">
        <f>raw!O34</f>
        <v>Medium, bug</v>
      </c>
      <c r="P87" s="54">
        <f>raw!P34</f>
        <v>0</v>
      </c>
      <c r="Q87" s="54" t="str">
        <f>raw!Q34</f>
        <v>Fixed</v>
      </c>
      <c r="R87" s="54" t="str" cm="1">
        <f t="array" ref="R87">_xlfn.LET(_xlpm.txt,LOWER(B87&amp;" "&amp;C87&amp;" "&amp;F87&amp;" "&amp;M87&amp;" "&amp;O87),_xlfn.IFS(OR(IFERROR(SEARCH("diw",_xlpm.txt),0)&gt;0,IFERROR(SEARCH("cost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7" s="54" t="str" cm="1">
        <f t="array" ref="S87">_xlfn.LET(_xlpm.txt,LOWER(B87&amp;" "&amp;C87&amp;" "&amp;F87&amp;" "&amp;M87&amp;" "&amp;O87),_xlfn.IFS(IFERROR(SEARCH("diw",_xlpm.txt),0)&gt;0,"diw",IFERROR(SEARCH("cost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87" s="54" t="s">
        <v>48</v>
      </c>
    </row>
    <row r="88" spans="1:20" ht="28.5" hidden="1" x14ac:dyDescent="0.45">
      <c r="A88" s="54">
        <f>raw!A35</f>
        <v>28</v>
      </c>
      <c r="B88" s="54" t="str">
        <f>raw!B35</f>
        <v>Streamer - Module Level Task</v>
      </c>
      <c r="C88" s="54" t="str">
        <f>raw!C35</f>
        <v>System</v>
      </c>
      <c r="D88" s="54" t="str">
        <f>raw!D35</f>
        <v>Should</v>
      </c>
      <c r="E88" s="54" t="str">
        <f>raw!E35</f>
        <v>None</v>
      </c>
      <c r="F88" s="54" t="str">
        <f>raw!F35</f>
        <v>The sequence of module level task should follow the module sequence in admin setting</v>
      </c>
      <c r="G88" s="55">
        <f>raw!G35</f>
        <v>46099</v>
      </c>
      <c r="H88" s="54" t="str">
        <f>raw!H35</f>
        <v>Ray</v>
      </c>
      <c r="I88" s="54" t="str">
        <f>raw!I35</f>
        <v>Refer to Screen Capture</v>
      </c>
      <c r="J88" s="54" t="str">
        <f>raw!J35</f>
        <v>Enhancement</v>
      </c>
      <c r="K88" s="54">
        <f>raw!K35</f>
        <v>0</v>
      </c>
      <c r="L88" s="54">
        <f>raw!L35</f>
        <v>0</v>
      </c>
      <c r="M88" s="54" t="str">
        <f>raw!M35</f>
        <v>To be changed as mentioned</v>
      </c>
      <c r="N88" s="54">
        <f>raw!N35</f>
        <v>0</v>
      </c>
      <c r="O88" s="54" t="str">
        <f>raw!O35</f>
        <v>Medium, performance issues</v>
      </c>
      <c r="P88" s="54">
        <f>raw!P35</f>
        <v>0</v>
      </c>
      <c r="Q88" s="54" t="str">
        <f>raw!Q35</f>
        <v>Fixed</v>
      </c>
      <c r="R88" s="54" t="str" cm="1">
        <f t="array" ref="R88">_xlfn.LET(_xlpm.txt,LOWER(B88&amp;" "&amp;C88&amp;" "&amp;F88&amp;" "&amp;M88&amp;" "&amp;O88),_xlfn.IFS(OR(IFERROR(SEARCH("diw",_xlpm.txt),0)&gt;0,IFERROR(SEARCH("cost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8" s="54" t="str" cm="1">
        <f t="array" ref="S88">_xlfn.LET(_xlpm.txt,LOWER(B88&amp;" "&amp;C88&amp;" "&amp;F88&amp;" "&amp;M88&amp;" "&amp;O88),_xlfn.IFS(IFERROR(SEARCH("diw",_xlpm.txt),0)&gt;0,"diw",IFERROR(SEARCH("cost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88" s="54" t="s">
        <v>48</v>
      </c>
    </row>
    <row r="89" spans="1:20" ht="28.5" hidden="1" x14ac:dyDescent="0.45">
      <c r="A89" s="54">
        <f>raw!A36</f>
        <v>29</v>
      </c>
      <c r="B89" s="54" t="str">
        <f>raw!B36</f>
        <v>Tasks - Task Owner Filter</v>
      </c>
      <c r="C89" s="54" t="str">
        <f>raw!C36</f>
        <v>System</v>
      </c>
      <c r="D89" s="54" t="str">
        <f>raw!D36</f>
        <v>Must</v>
      </c>
      <c r="E89" s="54" t="str">
        <f>raw!E36</f>
        <v>Bug</v>
      </c>
      <c r="F89" s="54" t="str">
        <f>raw!F36</f>
        <v>Duplicate selection items found.</v>
      </c>
      <c r="G89" s="55">
        <f>raw!G36</f>
        <v>46099</v>
      </c>
      <c r="H89" s="54" t="str">
        <f>raw!H36</f>
        <v>Ray</v>
      </c>
      <c r="I89" s="54" t="str">
        <f>raw!I36</f>
        <v>Refer to Screen Capture</v>
      </c>
      <c r="J89" s="54" t="str">
        <f>raw!J36</f>
        <v>Bug</v>
      </c>
      <c r="K89" s="54" t="str">
        <f>raw!K36</f>
        <v>P4</v>
      </c>
      <c r="L89" s="54">
        <f>raw!L36</f>
        <v>0</v>
      </c>
      <c r="M89" s="54" t="str">
        <f>raw!M36</f>
        <v>Needs to be addressed</v>
      </c>
      <c r="N89" s="54">
        <f>raw!N36</f>
        <v>0</v>
      </c>
      <c r="O89" s="54" t="str">
        <f>raw!O36</f>
        <v>medium, fixed</v>
      </c>
      <c r="P89" s="54">
        <f>raw!P36</f>
        <v>0</v>
      </c>
      <c r="Q89" s="54" t="str">
        <f>raw!Q36</f>
        <v>Fixed</v>
      </c>
      <c r="R89" s="54" t="str" cm="1">
        <f t="array" ref="R89">_xlfn.LET(_xlpm.txt,LOWER(B89&amp;" "&amp;C89&amp;" "&amp;F89&amp;" "&amp;M89&amp;" "&amp;O89),_xlfn.IFS(OR(IFERROR(SEARCH("diw",_xlpm.txt),0)&gt;0,IFERROR(SEARCH("cost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89" s="54" t="str" cm="1">
        <f t="array" ref="S89">_xlfn.LET(_xlpm.txt,LOWER(B89&amp;" "&amp;C89&amp;" "&amp;F89&amp;" "&amp;M89&amp;" "&amp;O89),_xlfn.IFS(IFERROR(SEARCH("diw",_xlpm.txt),0)&gt;0,"diw",IFERROR(SEARCH("cost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89" s="54" t="s">
        <v>466</v>
      </c>
    </row>
    <row r="90" spans="1:20" ht="28.5" hidden="1" x14ac:dyDescent="0.45">
      <c r="A90" s="54">
        <f>raw!A37</f>
        <v>30</v>
      </c>
      <c r="B90" s="54" t="str">
        <f>raw!B37</f>
        <v>Tasks</v>
      </c>
      <c r="C90" s="54" t="str">
        <f>raw!C37</f>
        <v>System</v>
      </c>
      <c r="D90" s="54" t="str">
        <f>raw!D37</f>
        <v>Must</v>
      </c>
      <c r="E90" s="54" t="str">
        <f>raw!E37</f>
        <v>Bug</v>
      </c>
      <c r="F90" s="54" t="str">
        <f>raw!F37</f>
        <v>Planner / Task Owner should not able to disable a task when the task already completed. (L02)</v>
      </c>
      <c r="G90" s="55">
        <f>raw!G37</f>
        <v>46099</v>
      </c>
      <c r="H90" s="54" t="str">
        <f>raw!H37</f>
        <v>Ray</v>
      </c>
      <c r="I90" s="54" t="str">
        <f>raw!I37</f>
        <v>Refer to Screen Capture</v>
      </c>
      <c r="J90" s="54" t="str">
        <f>raw!J37</f>
        <v>None</v>
      </c>
      <c r="K90" s="54">
        <f>raw!K37</f>
        <v>0</v>
      </c>
      <c r="L90" s="54">
        <f>raw!L37</f>
        <v>0</v>
      </c>
      <c r="M90" s="54" t="str">
        <f>raw!M37</f>
        <v>Changes as per L02</v>
      </c>
      <c r="N90" s="54">
        <f>raw!N37</f>
        <v>0</v>
      </c>
      <c r="O90" s="54" t="str">
        <f>raw!O37</f>
        <v>medium, fixed</v>
      </c>
      <c r="P90" s="54">
        <f>raw!P37</f>
        <v>0</v>
      </c>
      <c r="Q90" s="54" t="str">
        <f>raw!Q37</f>
        <v>Fixed</v>
      </c>
      <c r="R90" s="54" t="str" cm="1">
        <f t="array" ref="R90">_xlfn.LET(_xlpm.txt,LOWER(B90&amp;" "&amp;C90&amp;" "&amp;F90&amp;" "&amp;M90&amp;" "&amp;O90),_xlfn.IFS(OR(IFERROR(SEARCH("diw",_xlpm.txt),0)&gt;0,IFERROR(SEARCH("cost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0" s="54" t="str" cm="1">
        <f t="array" ref="S90">_xlfn.LET(_xlpm.txt,LOWER(B90&amp;" "&amp;C90&amp;" "&amp;F90&amp;" "&amp;M90&amp;" "&amp;O90),_xlfn.IFS(IFERROR(SEARCH("diw",_xlpm.txt),0)&gt;0,"diw",IFERROR(SEARCH("cost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90" s="54" t="s">
        <v>466</v>
      </c>
    </row>
    <row r="91" spans="1:20" ht="28.5" hidden="1" x14ac:dyDescent="0.45">
      <c r="A91" s="54">
        <f>raw!A40</f>
        <v>32</v>
      </c>
      <c r="B91" s="54" t="str">
        <f>raw!B40</f>
        <v>Admin - Task Selection update</v>
      </c>
      <c r="C91" s="54" t="str">
        <f>raw!C40</f>
        <v>System</v>
      </c>
      <c r="D91" s="54" t="str">
        <f>raw!D40</f>
        <v>Must</v>
      </c>
      <c r="E91" s="54" t="str">
        <f>raw!E40</f>
        <v>Bug</v>
      </c>
      <c r="F91" s="54" t="str">
        <f>raw!F40</f>
        <v>When user update column Start Day and Duration value, system will auto selected the row, it is not what we expect.</v>
      </c>
      <c r="G91" s="55">
        <f>raw!G40</f>
        <v>46099</v>
      </c>
      <c r="H91" s="54" t="str">
        <f>raw!H40</f>
        <v>Ricky</v>
      </c>
      <c r="I91" s="54" t="str">
        <f>raw!I40</f>
        <v>Refer to Screen Capture</v>
      </c>
      <c r="J91" s="54" t="str">
        <f>raw!J40</f>
        <v>Bug</v>
      </c>
      <c r="K91" s="54" t="str">
        <f>raw!K40</f>
        <v>P4</v>
      </c>
      <c r="L91" s="54">
        <f>raw!L40</f>
        <v>0</v>
      </c>
      <c r="M91" s="54" t="str">
        <f>raw!M40</f>
        <v>As per email with Ray, auto selection to be removed</v>
      </c>
      <c r="N91" s="54">
        <f>raw!N40</f>
        <v>0</v>
      </c>
      <c r="O91" s="54" t="str">
        <f>raw!O40</f>
        <v>medium, operational risk</v>
      </c>
      <c r="P91" s="54">
        <f>raw!P40</f>
        <v>0</v>
      </c>
      <c r="Q91" s="54" t="str">
        <f>raw!Q40</f>
        <v>Fixed</v>
      </c>
      <c r="R91" s="54" t="str" cm="1">
        <f t="array" ref="R91">_xlfn.LET(_xlpm.txt,LOWER(B91&amp;" "&amp;C91&amp;" "&amp;F91&amp;" "&amp;M91&amp;" "&amp;O91),_xlfn.IFS(OR(IFERROR(SEARCH("diw",_xlpm.txt),0)&gt;0,IFERROR(SEARCH("cost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1" s="54" t="str" cm="1">
        <f t="array" ref="S91">_xlfn.LET(_xlpm.txt,LOWER(B91&amp;" "&amp;C91&amp;" "&amp;F91&amp;" "&amp;M91&amp;" "&amp;O91),_xlfn.IFS(IFERROR(SEARCH("diw",_xlpm.txt),0)&gt;0,"diw",IFERROR(SEARCH("cost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91" s="54" t="s">
        <v>466</v>
      </c>
    </row>
    <row r="92" spans="1:20" ht="42.75" hidden="1" x14ac:dyDescent="0.45">
      <c r="A92" s="54">
        <f>raw!A41</f>
        <v>33</v>
      </c>
      <c r="B92" s="54" t="str">
        <f>raw!B41</f>
        <v>Admin - Task Selection update</v>
      </c>
      <c r="C92" s="54" t="str">
        <f>raw!C41</f>
        <v>System</v>
      </c>
      <c r="D92" s="54" t="str">
        <f>raw!D41</f>
        <v>Must</v>
      </c>
      <c r="E92" s="54" t="str">
        <f>raw!E41</f>
        <v>Bug</v>
      </c>
      <c r="F92" s="54" t="str">
        <f>raw!F41</f>
        <v>When user update module level task Start Day and Duration value and save, the value remain the past value in the edit page, but with the update value in the preview page.</v>
      </c>
      <c r="G92" s="55">
        <f>raw!G41</f>
        <v>46099</v>
      </c>
      <c r="H92" s="54" t="str">
        <f>raw!H41</f>
        <v>Ricky</v>
      </c>
      <c r="I92" s="54" t="str">
        <f>raw!I41</f>
        <v>Refer to Screen Capture</v>
      </c>
      <c r="J92" s="54" t="str">
        <f>raw!J41</f>
        <v>Bug</v>
      </c>
      <c r="K92" s="54" t="str">
        <f>raw!K41</f>
        <v>P4</v>
      </c>
      <c r="L92" s="54">
        <f>raw!L41</f>
        <v>0</v>
      </c>
      <c r="M92" s="54" t="str">
        <f>raw!M41</f>
        <v>As per email with Ray, Save should reflect change in the same page</v>
      </c>
      <c r="N92" s="54">
        <f>raw!N41</f>
        <v>0</v>
      </c>
      <c r="O92" s="54" t="str">
        <f>raw!O41</f>
        <v>medium, bug</v>
      </c>
      <c r="P92" s="54">
        <f>raw!P41</f>
        <v>0</v>
      </c>
      <c r="Q92" s="54" t="str">
        <f>raw!Q41</f>
        <v>Fixed</v>
      </c>
      <c r="R92" s="54" t="str" cm="1">
        <f t="array" ref="R92">_xlfn.LET(_xlpm.txt,LOWER(B92&amp;" "&amp;C92&amp;" "&amp;F92&amp;" "&amp;M92&amp;" "&amp;O92),_xlfn.IFS(OR(IFERROR(SEARCH("diw",_xlpm.txt),0)&gt;0,IFERROR(SEARCH("cost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2" s="54" t="str" cm="1">
        <f t="array" ref="S92">_xlfn.LET(_xlpm.txt,LOWER(B92&amp;" "&amp;C92&amp;" "&amp;F92&amp;" "&amp;M92&amp;" "&amp;O92),_xlfn.IFS(IFERROR(SEARCH("diw",_xlpm.txt),0)&gt;0,"diw",IFERROR(SEARCH("cost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92" s="54" t="s">
        <v>466</v>
      </c>
    </row>
    <row r="93" spans="1:20" ht="28.5" hidden="1" x14ac:dyDescent="0.45">
      <c r="A93" s="54">
        <f>raw!A42</f>
        <v>34</v>
      </c>
      <c r="B93" s="54" t="str">
        <f>raw!B42</f>
        <v>Admin - Task Selection update</v>
      </c>
      <c r="C93" s="54" t="str">
        <f>raw!C42</f>
        <v>System</v>
      </c>
      <c r="D93" s="54" t="str">
        <f>raw!D42</f>
        <v>Must</v>
      </c>
      <c r="E93" s="54" t="str">
        <f>raw!E42</f>
        <v>None</v>
      </c>
      <c r="F93" s="54" t="str">
        <f>raw!F42</f>
        <v xml:space="preserve">         </v>
      </c>
      <c r="G93" s="55">
        <f>raw!G42</f>
        <v>46099</v>
      </c>
      <c r="H93" s="54" t="str">
        <f>raw!H42</f>
        <v>Ricky</v>
      </c>
      <c r="I93" s="54" t="str">
        <f>raw!I42</f>
        <v>N/A</v>
      </c>
      <c r="J93" s="54" t="str">
        <f>raw!J42</f>
        <v>Bug</v>
      </c>
      <c r="K93" s="54" t="str">
        <f>raw!K42</f>
        <v>P4</v>
      </c>
      <c r="L93" s="54">
        <f>raw!L42</f>
        <v>0</v>
      </c>
      <c r="M93" s="54" t="str">
        <f>raw!M42</f>
        <v>Working as per requirement, module level tasks to be updated manually</v>
      </c>
      <c r="N93" s="54">
        <f>raw!N42</f>
        <v>0</v>
      </c>
      <c r="O93" s="54" t="str">
        <f>raw!O42</f>
        <v>Removed</v>
      </c>
      <c r="P93" s="54">
        <f>raw!P42</f>
        <v>0</v>
      </c>
      <c r="Q93" s="54" t="str">
        <f>raw!Q42</f>
        <v>Closed</v>
      </c>
      <c r="R93" s="54" t="str" cm="1">
        <f t="array" ref="R93">_xlfn.LET(_xlpm.txt,LOWER(B93&amp;" "&amp;C93&amp;" "&amp;F93&amp;" "&amp;M93&amp;" "&amp;O93),_xlfn.IFS(OR(IFERROR(SEARCH("diw",_xlpm.txt),0)&gt;0,IFERROR(SEARCH("cost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3" s="54" t="str" cm="1">
        <f t="array" ref="S93">_xlfn.LET(_xlpm.txt,LOWER(B93&amp;" "&amp;C93&amp;" "&amp;F93&amp;" "&amp;M93&amp;" "&amp;O93),_xlfn.IFS(IFERROR(SEARCH("diw",_xlpm.txt),0)&gt;0,"diw",IFERROR(SEARCH("cost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93" s="54" t="s">
        <v>59</v>
      </c>
    </row>
    <row r="94" spans="1:20" ht="28.5" hidden="1" x14ac:dyDescent="0.45">
      <c r="A94" s="54">
        <f>raw!A46</f>
        <v>37</v>
      </c>
      <c r="B94" s="54" t="str">
        <f>raw!B46</f>
        <v>Admin - Template Edit</v>
      </c>
      <c r="C94" s="54" t="str">
        <f>raw!C46</f>
        <v>UI</v>
      </c>
      <c r="D94" s="54" t="str">
        <f>raw!D46</f>
        <v>Must</v>
      </c>
      <c r="E94" s="54" t="str">
        <f>raw!E46</f>
        <v>rework</v>
      </c>
      <c r="F94" s="54" t="str">
        <f>raw!F46</f>
        <v>Header of Task Selection (Step 2) is hidden  and the header text NOT be fit into width of columns</v>
      </c>
      <c r="G94" s="55">
        <f>raw!G46</f>
        <v>46099</v>
      </c>
      <c r="H94" s="54" t="str">
        <f>raw!H46</f>
        <v>Chris</v>
      </c>
      <c r="I94" s="54">
        <f>raw!I46</f>
        <v>0</v>
      </c>
      <c r="J94" s="54" t="str">
        <f>raw!J46</f>
        <v>Bug</v>
      </c>
      <c r="K94" s="54" t="str">
        <f>raw!K46</f>
        <v>P4</v>
      </c>
      <c r="L94" s="54">
        <f>raw!L46</f>
        <v>0</v>
      </c>
      <c r="M94" s="54" t="str">
        <f>raw!M46</f>
        <v>Needs more details</v>
      </c>
      <c r="N94" s="54">
        <f>raw!N46</f>
        <v>0</v>
      </c>
      <c r="O94" s="54" t="str">
        <f>raw!O46</f>
        <v>medium, performance issue</v>
      </c>
      <c r="P94" s="54">
        <f>raw!P46</f>
        <v>0</v>
      </c>
      <c r="Q94" s="54" t="str">
        <f>raw!Q46</f>
        <v>Not yet fix</v>
      </c>
      <c r="R94" s="54" t="str" cm="1">
        <f t="array" ref="R94">_xlfn.LET(_xlpm.txt,LOWER(B94&amp;" "&amp;C94&amp;" "&amp;F94&amp;" "&amp;M94&amp;" "&amp;O94),_xlfn.IFS(OR(IFERROR(SEARCH("diw",_xlpm.txt),0)&gt;0,IFERROR(SEARCH("cost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4" s="54" t="str" cm="1">
        <f t="array" ref="S94">_xlfn.LET(_xlpm.txt,LOWER(B94&amp;" "&amp;C94&amp;" "&amp;F94&amp;" "&amp;M94&amp;" "&amp;O94),_xlfn.IFS(IFERROR(SEARCH("diw",_xlpm.txt),0)&gt;0,"diw",IFERROR(SEARCH("cost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94" s="54" t="s">
        <v>466</v>
      </c>
    </row>
    <row r="95" spans="1:20" hidden="1" x14ac:dyDescent="0.45">
      <c r="A95" s="54">
        <f>raw!A50</f>
        <v>40</v>
      </c>
      <c r="B95" s="54" t="str">
        <f>raw!B50</f>
        <v>Planner - Tasks</v>
      </c>
      <c r="C95" s="54" t="str">
        <f>raw!C50</f>
        <v>UI</v>
      </c>
      <c r="D95" s="54" t="str">
        <f>raw!D50</f>
        <v>Must</v>
      </c>
      <c r="E95" s="54" t="str">
        <f>raw!E50</f>
        <v>Bug</v>
      </c>
      <c r="F95" s="54" t="str">
        <f>raw!F50</f>
        <v>The horizontal scroll-bar is hidden on the bottom</v>
      </c>
      <c r="G95" s="55">
        <f>raw!G50</f>
        <v>46099</v>
      </c>
      <c r="H95" s="54" t="str">
        <f>raw!H50</f>
        <v>Chris</v>
      </c>
      <c r="I95" s="54">
        <f>raw!I50</f>
        <v>0</v>
      </c>
      <c r="J95" s="54" t="str">
        <f>raw!J50</f>
        <v>Bug</v>
      </c>
      <c r="K95" s="54" t="str">
        <f>raw!K50</f>
        <v>P4</v>
      </c>
      <c r="L95" s="54">
        <f>raw!L50</f>
        <v>0</v>
      </c>
      <c r="M95" s="54" t="str">
        <f>raw!M50</f>
        <v>Always show scroll bar</v>
      </c>
      <c r="N95" s="54">
        <f>raw!N50</f>
        <v>0</v>
      </c>
      <c r="O95" s="54" t="str">
        <f>raw!O50</f>
        <v>medium, operational risk</v>
      </c>
      <c r="P95" s="54">
        <f>raw!P50</f>
        <v>0</v>
      </c>
      <c r="Q95" s="54" t="str">
        <f>raw!Q50</f>
        <v>Not yet fix</v>
      </c>
      <c r="R95" s="54" t="str" cm="1">
        <f t="array" ref="R95">_xlfn.LET(_xlpm.txt,LOWER(B95&amp;" "&amp;C95&amp;" "&amp;F95&amp;" "&amp;M95&amp;" "&amp;O95),_xlfn.IFS(OR(IFERROR(SEARCH("diw",_xlpm.txt),0)&gt;0,IFERROR(SEARCH("cost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5" s="54" t="str" cm="1">
        <f t="array" ref="S95">_xlfn.LET(_xlpm.txt,LOWER(B95&amp;" "&amp;C95&amp;" "&amp;F95&amp;" "&amp;M95&amp;" "&amp;O95),_xlfn.IFS(IFERROR(SEARCH("diw",_xlpm.txt),0)&gt;0,"diw",IFERROR(SEARCH("cost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tasks</v>
      </c>
      <c r="T95" s="54" t="s">
        <v>466</v>
      </c>
    </row>
    <row r="96" spans="1:20" ht="57" hidden="1" x14ac:dyDescent="0.45">
      <c r="A96" s="54">
        <f>raw!A51</f>
        <v>41</v>
      </c>
      <c r="B96" s="54" t="str">
        <f>raw!B51</f>
        <v>Admin - Template Edit /</v>
      </c>
      <c r="C96" s="54" t="str">
        <f>raw!C51</f>
        <v>System</v>
      </c>
      <c r="D96" s="54" t="str">
        <f>raw!D51</f>
        <v>Must</v>
      </c>
      <c r="E96" s="54" t="str">
        <f>raw!E51</f>
        <v>Bug</v>
      </c>
      <c r="F96" s="54" t="str">
        <f>_xlfn.TEXTJOIN(CHAR(10),TRUE,raw!F51:F53)</f>
        <v>All the fields setting in template should not change even any change happened in the task management. But now when the user go to the edit streamer page, latest task setting will auto update the setting in template edit page.</v>
      </c>
      <c r="G96" s="55">
        <f>raw!G51</f>
        <v>46099</v>
      </c>
      <c r="H96" s="54" t="str">
        <f>raw!H51</f>
        <v>Edmond</v>
      </c>
      <c r="I96" s="54" t="str">
        <f>raw!I51</f>
        <v>Refer to Screen Capture</v>
      </c>
      <c r="J96" s="54" t="str">
        <f>raw!J51</f>
        <v>None</v>
      </c>
      <c r="K96" s="54">
        <f>raw!K51</f>
        <v>0</v>
      </c>
      <c r="L96" s="54">
        <f>raw!L51</f>
        <v>0</v>
      </c>
      <c r="M96" s="54" t="str">
        <f>_xlfn.TEXTJOIN(CHAR(10),TRUE,raw!M51:M53)</f>
        <v>As per requirement, BRD 4.2.9
9. Any changes(updating and deleting) in the Tasks management will NOT affect in Templates</v>
      </c>
      <c r="N96" s="54">
        <f>raw!N51</f>
        <v>0</v>
      </c>
      <c r="O96" s="54" t="str">
        <f>_xlfn.TEXTJOIN(CHAR(10),TRUE,raw!O51:O53)</f>
        <v>High</v>
      </c>
      <c r="P96" s="54">
        <f>raw!P51</f>
        <v>0</v>
      </c>
      <c r="Q96" s="54" t="str">
        <f>raw!Q51</f>
        <v>Fixed</v>
      </c>
      <c r="R96" s="54" t="str" cm="1">
        <f t="array" ref="R96">_xlfn.LET(_xlpm.txt,LOWER(B96&amp;" "&amp;C96&amp;" "&amp;F96&amp;" "&amp;M96&amp;" "&amp;O96),_xlfn.IFS(OR(IFERROR(SEARCH("diw",_xlpm.txt),0)&gt;0,IFERROR(SEARCH("cost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6" s="54" t="str" cm="1">
        <f t="array" ref="S96">_xlfn.LET(_xlpm.txt,LOWER(B96&amp;" "&amp;C96&amp;" "&amp;F96&amp;" "&amp;M96&amp;" "&amp;O96),_xlfn.IFS(IFERROR(SEARCH("diw",_xlpm.txt),0)&gt;0,"diw",IFERROR(SEARCH("cost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96" s="54" t="s">
        <v>102</v>
      </c>
    </row>
    <row r="97" spans="1:20" ht="57" hidden="1" x14ac:dyDescent="0.45">
      <c r="A97" s="54">
        <f>raw!A56</f>
        <v>43</v>
      </c>
      <c r="B97" s="54" t="str">
        <f>raw!B56</f>
        <v>Planner -&gt; Streamer -&gt;  Active Steamers</v>
      </c>
      <c r="C97" s="54" t="str">
        <f>raw!C56</f>
        <v>System</v>
      </c>
      <c r="D97" s="54" t="str">
        <f>raw!D56</f>
        <v>Must</v>
      </c>
      <c r="E97" s="54" t="str">
        <f>raw!E56</f>
        <v>Bug</v>
      </c>
      <c r="F97" s="54" t="str">
        <f>_xlfn.TEXTJOIN(CHAR(10),TRUE,raw!F56:F57)</f>
        <v>The Actual Completion Date was completed on 07 Mar 2026, but it is not reflected in the system.(Fxied)
Task disable/enable without any confirmation (User need to click save to make changes)</v>
      </c>
      <c r="G97" s="55">
        <f>raw!G56</f>
        <v>46100</v>
      </c>
      <c r="H97" s="54" t="str">
        <f>raw!H56</f>
        <v>Ricky</v>
      </c>
      <c r="I97" s="54" t="str">
        <f>raw!I56</f>
        <v>Refer to Screen Capture</v>
      </c>
      <c r="J97" s="54" t="str">
        <f>raw!J56</f>
        <v>Bug</v>
      </c>
      <c r="K97" s="54" t="str">
        <f>raw!K56</f>
        <v>P3</v>
      </c>
      <c r="L97" s="54">
        <f>raw!L56</f>
        <v>0</v>
      </c>
      <c r="M97" s="54" t="str">
        <f>_xlfn.TEXTJOIN(CHAR(10),TRUE,raw!M56:M57)</f>
        <v/>
      </c>
      <c r="N97" s="54">
        <f>raw!N56</f>
        <v>0</v>
      </c>
      <c r="O97" s="54" t="str">
        <f>_xlfn.TEXTJOIN(CHAR(10),TRUE,raw!O56:O57)</f>
        <v>medium, operational risk</v>
      </c>
      <c r="P97" s="54">
        <f>raw!P56</f>
        <v>0</v>
      </c>
      <c r="Q97" s="54" t="str">
        <f>raw!Q56</f>
        <v>Not yet fix</v>
      </c>
      <c r="R97" s="54" t="str" cm="1">
        <f t="array" ref="R97">_xlfn.LET(_xlpm.txt,LOWER(B97&amp;" "&amp;C97&amp;" "&amp;F97&amp;" "&amp;M97&amp;" "&amp;O97),_xlfn.IFS(OR(IFERROR(SEARCH("diw",_xlpm.txt),0)&gt;0,IFERROR(SEARCH("cost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7" s="54" t="str" cm="1">
        <f t="array" ref="S97">_xlfn.LET(_xlpm.txt,LOWER(B97&amp;" "&amp;C97&amp;" "&amp;F97&amp;" "&amp;M97&amp;" "&amp;O97),_xlfn.IFS(IFERROR(SEARCH("diw",_xlpm.txt),0)&gt;0,"diw",IFERROR(SEARCH("cost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97" s="54" t="s">
        <v>466</v>
      </c>
    </row>
    <row r="98" spans="1:20" ht="57" hidden="1" x14ac:dyDescent="0.45">
      <c r="A98" s="54">
        <f>raw!A71</f>
        <v>49</v>
      </c>
      <c r="B98" s="54" t="str">
        <f>raw!B71</f>
        <v>Template Management - Edit Template</v>
      </c>
      <c r="C98" s="54" t="str">
        <f>raw!C71</f>
        <v>System</v>
      </c>
      <c r="D98" s="54" t="str">
        <f>raw!D71</f>
        <v>Must</v>
      </c>
      <c r="E98" s="54" t="str">
        <f>raw!E71</f>
        <v>Bug</v>
      </c>
      <c r="F98" s="54" t="str">
        <f>raw!F71</f>
        <v>the template edit page allow double click the fields(Task owner, Start Day, Duration) to access the target fields to do modification, but it is not working. The modification only happen the user update the fields by click the "Edit" Pencil button</v>
      </c>
      <c r="G98" s="55">
        <f>raw!G71</f>
        <v>46100</v>
      </c>
      <c r="H98" s="54" t="str">
        <f>raw!H71</f>
        <v>Ray</v>
      </c>
      <c r="I98" s="54" t="str">
        <f>raw!I71</f>
        <v>N/A</v>
      </c>
      <c r="J98" s="54" t="str">
        <f>raw!J71</f>
        <v>Bug</v>
      </c>
      <c r="K98" s="54" t="str">
        <f>raw!K71</f>
        <v>P4</v>
      </c>
      <c r="L98" s="54">
        <f>raw!L71</f>
        <v>0</v>
      </c>
      <c r="M98" s="54">
        <f>raw!M71</f>
        <v>0</v>
      </c>
      <c r="N98" s="54">
        <f>raw!N71</f>
        <v>0</v>
      </c>
      <c r="O98" s="54" t="str">
        <f>raw!O71</f>
        <v>Medium</v>
      </c>
      <c r="P98" s="54">
        <f>raw!P71</f>
        <v>0</v>
      </c>
      <c r="Q98" s="54" t="str">
        <f>raw!Q71</f>
        <v>Fixed</v>
      </c>
      <c r="R98" s="54" t="str" cm="1">
        <f t="array" ref="R98">_xlfn.LET(_xlpm.txt,LOWER(B98&amp;" "&amp;C98&amp;" "&amp;F98&amp;" "&amp;M98&amp;" "&amp;O98),_xlfn.IFS(OR(IFERROR(SEARCH("diw",_xlpm.txt),0)&gt;0,IFERROR(SEARCH("cost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8" s="54" t="str" cm="1">
        <f t="array" ref="S98">_xlfn.LET(_xlpm.txt,LOWER(B98&amp;" "&amp;C98&amp;" "&amp;F98&amp;" "&amp;M98&amp;" "&amp;O98),_xlfn.IFS(IFERROR(SEARCH("diw",_xlpm.txt),0)&gt;0,"diw",IFERROR(SEARCH("cost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98" s="54" t="s">
        <v>48</v>
      </c>
    </row>
    <row r="99" spans="1:20" ht="28.5" hidden="1" x14ac:dyDescent="0.45">
      <c r="A99" s="54">
        <f>raw!A72</f>
        <v>50</v>
      </c>
      <c r="B99" s="54" t="str">
        <f>raw!B72</f>
        <v>Planner -&gt; Streamer -&gt;  Amend Streamer</v>
      </c>
      <c r="C99" s="54" t="str">
        <f>raw!C72</f>
        <v>System</v>
      </c>
      <c r="D99" s="54" t="str">
        <f>raw!D72</f>
        <v>Should</v>
      </c>
      <c r="E99" s="54" t="str">
        <f>raw!E72</f>
        <v>Rework</v>
      </c>
      <c r="F99" s="54" t="str">
        <f>raw!F72</f>
        <v>When existing engine streamer module work level change and load a new template or not, all the existing tasks data should be keep.</v>
      </c>
      <c r="G99" s="55">
        <f>raw!G72</f>
        <v>46100</v>
      </c>
      <c r="H99" s="54" t="str">
        <f>raw!H72</f>
        <v>Ricky</v>
      </c>
      <c r="I99" s="54" t="str">
        <f>raw!I72</f>
        <v>Refer to Screen Capture</v>
      </c>
      <c r="J99" s="54" t="str">
        <f>raw!J72</f>
        <v>None</v>
      </c>
      <c r="K99" s="54">
        <f>raw!K72</f>
        <v>0</v>
      </c>
      <c r="L99" s="54">
        <f>raw!L72</f>
        <v>0</v>
      </c>
      <c r="M99" s="54" t="str">
        <f>raw!M72</f>
        <v>Not clear, need understanding @Ray</v>
      </c>
      <c r="N99" s="54">
        <f>raw!N72</f>
        <v>0</v>
      </c>
      <c r="O99" s="54" t="str">
        <f>raw!O72</f>
        <v>high, operational risk</v>
      </c>
      <c r="P99" s="54">
        <f>raw!P72</f>
        <v>0</v>
      </c>
      <c r="Q99" s="54" t="str">
        <f>raw!Q72</f>
        <v>Not yet fix</v>
      </c>
      <c r="R99" s="54" t="str" cm="1">
        <f t="array" ref="R99">_xlfn.LET(_xlpm.txt,LOWER(B99&amp;" "&amp;C99&amp;" "&amp;F99&amp;" "&amp;M99&amp;" "&amp;O99),_xlfn.IFS(OR(IFERROR(SEARCH("diw",_xlpm.txt),0)&gt;0,IFERROR(SEARCH("cost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99" s="54" t="str" cm="1">
        <f t="array" ref="S99">_xlfn.LET(_xlpm.txt,LOWER(B99&amp;" "&amp;C99&amp;" "&amp;F99&amp;" "&amp;M99&amp;" "&amp;O99),_xlfn.IFS(IFERROR(SEARCH("diw",_xlpm.txt),0)&gt;0,"diw",IFERROR(SEARCH("cost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tasks</v>
      </c>
      <c r="T99" s="54" t="s">
        <v>465</v>
      </c>
    </row>
    <row r="100" spans="1:20" ht="28.5" hidden="1" x14ac:dyDescent="0.45">
      <c r="A100" s="54">
        <f>raw!A73</f>
        <v>51</v>
      </c>
      <c r="B100" s="54" t="str">
        <f>raw!B73</f>
        <v>Planner &gt; Tasks Edit</v>
      </c>
      <c r="C100" s="54" t="str">
        <f>raw!C73</f>
        <v>System</v>
      </c>
      <c r="D100" s="54" t="str">
        <f>raw!D73</f>
        <v>Must</v>
      </c>
      <c r="E100" s="54" t="str">
        <f>raw!E73</f>
        <v>Bug</v>
      </c>
      <c r="F100" s="54" t="str">
        <f>raw!F73</f>
        <v>Once I input non-date on the Acutal Completion Date, PCD is changed unexpected. Please validate if the ACD input is a number</v>
      </c>
      <c r="G100" s="55">
        <f>raw!G73</f>
        <v>46100</v>
      </c>
      <c r="H100" s="54" t="str">
        <f>raw!H73</f>
        <v>Chris</v>
      </c>
      <c r="I100" s="54">
        <f>raw!I73</f>
        <v>0</v>
      </c>
      <c r="J100" s="54" t="str">
        <f>raw!J73</f>
        <v>Bug</v>
      </c>
      <c r="K100" s="54" t="str">
        <f>raw!K73</f>
        <v>P4</v>
      </c>
      <c r="L100" s="54">
        <f>raw!L73</f>
        <v>0</v>
      </c>
      <c r="M100" s="54" t="str">
        <f>raw!M73</f>
        <v>To be checked</v>
      </c>
      <c r="N100" s="54">
        <f>raw!N73</f>
        <v>0</v>
      </c>
      <c r="O100" s="54" t="str">
        <f>raw!O73</f>
        <v>high, fixed</v>
      </c>
      <c r="P100" s="54">
        <f>raw!P73</f>
        <v>0</v>
      </c>
      <c r="Q100" s="54" t="str">
        <f>raw!Q73</f>
        <v>Fixed</v>
      </c>
      <c r="R100" s="54" t="str" cm="1">
        <f t="array" ref="R100">_xlfn.LET(_xlpm.txt,LOWER(B100&amp;" "&amp;C100&amp;" "&amp;F100&amp;" "&amp;M100&amp;" "&amp;O100),_xlfn.IFS(OR(IFERROR(SEARCH("diw",_xlpm.txt),0)&gt;0,IFERROR(SEARCH("cost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0" s="54" t="str" cm="1">
        <f t="array" ref="S100">_xlfn.LET(_xlpm.txt,LOWER(B100&amp;" "&amp;C100&amp;" "&amp;F100&amp;" "&amp;M100&amp;" "&amp;O100),_xlfn.IFS(IFERROR(SEARCH("diw",_xlpm.txt),0)&gt;0,"diw",IFERROR(SEARCH("cost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PCD</v>
      </c>
      <c r="T100" s="54" t="s">
        <v>465</v>
      </c>
    </row>
    <row r="101" spans="1:20" ht="28.5" hidden="1" x14ac:dyDescent="0.45">
      <c r="A101" s="54">
        <f>raw!A77</f>
        <v>55</v>
      </c>
      <c r="B101" s="54" t="str">
        <f>raw!B77</f>
        <v>Planner &gt; Streamers</v>
      </c>
      <c r="C101" s="54" t="str">
        <f>raw!C77</f>
        <v>System</v>
      </c>
      <c r="D101" s="54" t="str">
        <f>raw!D77</f>
        <v>Must</v>
      </c>
      <c r="E101" s="54" t="str">
        <f>raw!E77</f>
        <v>Bug</v>
      </c>
      <c r="F101" s="54" t="str">
        <f>raw!F77</f>
        <v>All tasks have the Actual Completion Date entered as 19 Mar 2026, but the system displays 18 Mar 2026.</v>
      </c>
      <c r="G101" s="55">
        <f>raw!G77</f>
        <v>46100</v>
      </c>
      <c r="H101" s="54" t="str">
        <f>raw!H77</f>
        <v>Ricky</v>
      </c>
      <c r="I101" s="54" t="str">
        <f>raw!I77</f>
        <v>Refer item 56 to Screen Capture</v>
      </c>
      <c r="J101" s="54" t="str">
        <f>raw!J77</f>
        <v>None</v>
      </c>
      <c r="K101" s="54">
        <f>raw!K77</f>
        <v>0</v>
      </c>
      <c r="L101" s="54">
        <f>raw!L77</f>
        <v>0</v>
      </c>
      <c r="M101" s="54" t="str">
        <f>raw!M77</f>
        <v>Please provide Streamer details. @Ray, @Ricky</v>
      </c>
      <c r="N101" s="54">
        <f>raw!N77</f>
        <v>0</v>
      </c>
      <c r="O101" s="54" t="str">
        <f>raw!O77</f>
        <v>High</v>
      </c>
      <c r="P101" s="54">
        <f>raw!P77</f>
        <v>0</v>
      </c>
      <c r="Q101" s="54" t="str">
        <f>raw!Q77</f>
        <v>Fixed</v>
      </c>
      <c r="R101" s="54" t="str" cm="1">
        <f t="array" ref="R101">_xlfn.LET(_xlpm.txt,LOWER(B101&amp;" "&amp;C101&amp;" "&amp;F101&amp;" "&amp;M101&amp;" "&amp;O101),_xlfn.IFS(OR(IFERROR(SEARCH("diw",_xlpm.txt),0)&gt;0,IFERROR(SEARCH("cost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1" s="54" t="str" cm="1">
        <f t="array" ref="S101">_xlfn.LET(_xlpm.txt,LOWER(B101&amp;" "&amp;C101&amp;" "&amp;F101&amp;" "&amp;M101&amp;" "&amp;O101),_xlfn.IFS(IFERROR(SEARCH("diw",_xlpm.txt),0)&gt;0,"diw",IFERROR(SEARCH("cost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101" s="54" t="s">
        <v>102</v>
      </c>
    </row>
    <row r="102" spans="1:20" ht="99.75" hidden="1" x14ac:dyDescent="0.45">
      <c r="A102" s="54">
        <f>raw!A79</f>
        <v>57</v>
      </c>
      <c r="B102" s="54" t="str">
        <f>raw!B79</f>
        <v>Planner &gt; Streamers</v>
      </c>
      <c r="C102" s="54" t="str">
        <f>raw!C79</f>
        <v>System</v>
      </c>
      <c r="D102" s="54" t="str">
        <f>raw!D79</f>
        <v>Must</v>
      </c>
      <c r="E102" s="54" t="str">
        <f>raw!E79</f>
        <v>Bug</v>
      </c>
      <c r="F102" s="54" t="str">
        <f>_xlfn.TEXTJOIN(CHAR(10),TRUE,raw!F79:F85)</f>
        <v>For Engine 26121:
Task 6 – Components Receipt at Vendor
The task Finish Date is 25 Mar 2026; however, the Actual Completion Date was updated to 18 Mar 2026 due to early completion.
Task 7 – Parent Task (Components Sentencing)
The Finish Date remains 01 Apr 2026 and was not automatically revised to 25 Mar 2026, despite Task 6 being completed earlier.</v>
      </c>
      <c r="G102" s="55">
        <f>raw!G79</f>
        <v>46100</v>
      </c>
      <c r="H102" s="54" t="str">
        <f>raw!H79</f>
        <v>Ricky</v>
      </c>
      <c r="I102" s="54" t="str">
        <f>raw!I79</f>
        <v>Refer to Screen Capture</v>
      </c>
      <c r="J102" s="54">
        <f>raw!J79</f>
        <v>0</v>
      </c>
      <c r="K102" s="54">
        <f>raw!K79</f>
        <v>0</v>
      </c>
      <c r="L102" s="54">
        <f>raw!L79</f>
        <v>0</v>
      </c>
      <c r="M102" s="54" t="str">
        <f>_xlfn.TEXTJOIN(CHAR(10),TRUE,raw!M79:M85)</f>
        <v/>
      </c>
      <c r="N102" s="54">
        <f>raw!N79</f>
        <v>0</v>
      </c>
      <c r="O102" s="54" t="str">
        <f>_xlfn.TEXTJOIN(CHAR(10),TRUE,raw!O79:O85)</f>
        <v>Removed</v>
      </c>
      <c r="P102" s="54">
        <f>raw!P79</f>
        <v>0</v>
      </c>
      <c r="Q102" s="54" t="str">
        <f>raw!Q79</f>
        <v>Closed</v>
      </c>
      <c r="R102" s="54" t="str" cm="1">
        <f t="array" ref="R102">_xlfn.LET(_xlpm.txt,LOWER(B102&amp;" "&amp;C102&amp;" "&amp;F102&amp;" "&amp;M102&amp;" "&amp;O102),_xlfn.IFS(OR(IFERROR(SEARCH("diw",_xlpm.txt),0)&gt;0,IFERROR(SEARCH("cost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2" s="54" t="str" cm="1">
        <f t="array" ref="S102">_xlfn.LET(_xlpm.txt,LOWER(B102&amp;" "&amp;C102&amp;" "&amp;F102&amp;" "&amp;M102&amp;" "&amp;O102),_xlfn.IFS(IFERROR(SEARCH("diw",_xlpm.txt),0)&gt;0,"diw",IFERROR(SEARCH("cost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102" s="54" t="s">
        <v>59</v>
      </c>
    </row>
    <row r="103" spans="1:20" ht="28.5" hidden="1" x14ac:dyDescent="0.45">
      <c r="A103" s="54">
        <f>raw!A87</f>
        <v>59</v>
      </c>
      <c r="B103" s="54" t="str">
        <f>raw!B87</f>
        <v>Admin - Template Management</v>
      </c>
      <c r="C103" s="54" t="str">
        <f>raw!C87</f>
        <v>Gantt View</v>
      </c>
      <c r="D103" s="54" t="str">
        <f>raw!D87</f>
        <v>Should</v>
      </c>
      <c r="E103" s="54" t="str">
        <f>raw!E87</f>
        <v>Rework</v>
      </c>
      <c r="F103" s="54" t="str">
        <f>raw!F87</f>
        <v>The Arrow Line and the Wording of Task Description should not be overlapped</v>
      </c>
      <c r="G103" s="55">
        <f>raw!G87</f>
        <v>46101</v>
      </c>
      <c r="H103" s="54" t="str">
        <f>raw!H87</f>
        <v>Eugene</v>
      </c>
      <c r="I103" s="54" t="str">
        <f>raw!I87</f>
        <v>Refer to Screen Capture</v>
      </c>
      <c r="J103" s="54" t="str">
        <f>raw!J87</f>
        <v>Bug</v>
      </c>
      <c r="K103" s="54">
        <f>raw!K87</f>
        <v>0</v>
      </c>
      <c r="L103" s="54">
        <f>raw!L87</f>
        <v>0</v>
      </c>
      <c r="M103" s="54" t="str">
        <f>raw!M87</f>
        <v>To be done</v>
      </c>
      <c r="N103" s="54">
        <f>raw!N87</f>
        <v>0</v>
      </c>
      <c r="O103" s="54" t="str">
        <f>raw!O87</f>
        <v>medium, performance issue</v>
      </c>
      <c r="P103" s="54">
        <f>raw!P87</f>
        <v>0</v>
      </c>
      <c r="Q103" s="54" t="str">
        <f>raw!Q87</f>
        <v>Not yet fix</v>
      </c>
      <c r="R103" s="54" t="str" cm="1">
        <f t="array" ref="R103">_xlfn.LET(_xlpm.txt,LOWER(B103&amp;" "&amp;C103&amp;" "&amp;F103&amp;" "&amp;M103&amp;" "&amp;O103),_xlfn.IFS(OR(IFERROR(SEARCH("diw",_xlpm.txt),0)&gt;0,IFERROR(SEARCH("cost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3" s="54" t="str" cm="1">
        <f t="array" ref="S103">_xlfn.LET(_xlpm.txt,LOWER(B103&amp;" "&amp;C103&amp;" "&amp;F103&amp;" "&amp;M103&amp;" "&amp;O103),_xlfn.IFS(IFERROR(SEARCH("diw",_xlpm.txt),0)&gt;0,"diw",IFERROR(SEARCH("cost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3" s="54" t="s">
        <v>466</v>
      </c>
    </row>
    <row r="104" spans="1:20" ht="71.25" hidden="1" x14ac:dyDescent="0.45">
      <c r="A104" s="54">
        <f>raw!A95</f>
        <v>65</v>
      </c>
      <c r="B104" s="54" t="str">
        <f>raw!B95</f>
        <v>Task Update</v>
      </c>
      <c r="C104" s="54" t="str">
        <f>raw!C95</f>
        <v>System</v>
      </c>
      <c r="D104" s="54" t="str">
        <f>raw!D95</f>
        <v>Must</v>
      </c>
      <c r="E104" s="54" t="str">
        <f>raw!E95</f>
        <v>Bug</v>
      </c>
      <c r="F104" s="54" t="str">
        <f>_xlfn.TEXTJOIN(CHAR(10),TRUE,raw!F95:F99)</f>
        <v>Parent Child Relationship do not cover all current practises
1. WHEN Parent PCD + 2 days, THEN Child PCD + 2 days - Success
2. WHEN Parent PCD - 2 days, THEN Child PCD - 2 days - Failure
3. WHEN Parent ACD + 2 days, THEN Child PCD + 2 days - Failure
4. WHEN Parent ACD - 2 days, THEN Child PCD - 2 days - Failure</v>
      </c>
      <c r="G104" s="55">
        <f>raw!G95</f>
        <v>46108</v>
      </c>
      <c r="H104" s="54" t="str">
        <f>raw!H95</f>
        <v>Eugene</v>
      </c>
      <c r="I104" s="54" t="str">
        <f>raw!I95</f>
        <v>N/A</v>
      </c>
      <c r="J104" s="54" t="str">
        <f>raw!J95</f>
        <v>Bug</v>
      </c>
      <c r="K104" s="54" t="str">
        <f>raw!K95</f>
        <v>P4</v>
      </c>
      <c r="L104" s="54">
        <f>raw!L95</f>
        <v>0</v>
      </c>
      <c r="M104" s="54" t="str">
        <f>_xlfn.TEXTJOIN(CHAR(10),TRUE,raw!M95:M99)</f>
        <v>To be verified</v>
      </c>
      <c r="N104" s="54">
        <f>raw!N95</f>
        <v>0</v>
      </c>
      <c r="O104" s="54" t="str">
        <f>_xlfn.TEXTJOIN(CHAR(10),TRUE,raw!O95:O99)</f>
        <v>High, bug</v>
      </c>
      <c r="P104" s="54">
        <f>raw!P95</f>
        <v>0</v>
      </c>
      <c r="Q104" s="54" t="str">
        <f>raw!Q95</f>
        <v>Not yet fix</v>
      </c>
      <c r="R104" s="54" t="str" cm="1">
        <f t="array" ref="R104">_xlfn.LET(_xlpm.txt,LOWER(B104&amp;" "&amp;C104&amp;" "&amp;F104&amp;" "&amp;M104&amp;" "&amp;O104),_xlfn.IFS(OR(IFERROR(SEARCH("diw",_xlpm.txt),0)&gt;0,IFERROR(SEARCH("cost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4" s="54" t="str" cm="1">
        <f t="array" ref="S104">_xlfn.LET(_xlpm.txt,LOWER(B104&amp;" "&amp;C104&amp;" "&amp;F104&amp;" "&amp;M104&amp;" "&amp;O104),_xlfn.IFS(IFERROR(SEARCH("diw",_xlpm.txt),0)&gt;0,"diw",IFERROR(SEARCH("cost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PCD</v>
      </c>
      <c r="T104" s="54" t="s">
        <v>102</v>
      </c>
    </row>
    <row r="105" spans="1:20" ht="28.5" hidden="1" x14ac:dyDescent="0.45">
      <c r="A105" s="54">
        <f>raw!A101</f>
        <v>67</v>
      </c>
      <c r="B105" s="54" t="str">
        <f>raw!B101</f>
        <v>Task Update</v>
      </c>
      <c r="C105" s="54" t="str">
        <f>raw!C101</f>
        <v>System</v>
      </c>
      <c r="D105" s="54" t="str">
        <f>raw!D101</f>
        <v>Must</v>
      </c>
      <c r="E105" s="54" t="str">
        <f>raw!E101</f>
        <v>Bug</v>
      </c>
      <c r="F105" s="54" t="str">
        <f>raw!F101</f>
        <v>Text in the "Comments" disappeared after save</v>
      </c>
      <c r="G105" s="55">
        <f>raw!G101</f>
        <v>46113</v>
      </c>
      <c r="H105" s="54" t="str">
        <f>raw!H101</f>
        <v>Ray</v>
      </c>
      <c r="I105" s="54" t="str">
        <f>raw!I101</f>
        <v>Refer to Screen Capture</v>
      </c>
      <c r="J105" s="54" t="str">
        <f>raw!J101</f>
        <v>Bug</v>
      </c>
      <c r="K105" s="54" t="str">
        <f>raw!K101</f>
        <v>P4</v>
      </c>
      <c r="L105" s="54">
        <f>raw!L101</f>
        <v>0</v>
      </c>
      <c r="M105" s="54">
        <f>raw!M101</f>
        <v>0</v>
      </c>
      <c r="N105" s="54">
        <f>raw!N101</f>
        <v>0</v>
      </c>
      <c r="O105" s="54" t="str">
        <f>raw!O101</f>
        <v>High, bug</v>
      </c>
      <c r="P105" s="54">
        <f>raw!P101</f>
        <v>0</v>
      </c>
      <c r="Q105" s="54" t="str">
        <f>raw!Q101</f>
        <v>Not yet fix</v>
      </c>
      <c r="R105" s="54" t="str" cm="1">
        <f t="array" ref="R105">_xlfn.LET(_xlpm.txt,LOWER(B105&amp;" "&amp;C105&amp;" "&amp;F105&amp;" "&amp;M105&amp;" "&amp;O105),_xlfn.IFS(OR(IFERROR(SEARCH("diw",_xlpm.txt),0)&gt;0,IFERROR(SEARCH("cost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5" s="54" t="str" cm="1">
        <f t="array" ref="S105">_xlfn.LET(_xlpm.txt,LOWER(B105&amp;" "&amp;C105&amp;" "&amp;F105&amp;" "&amp;M105&amp;" "&amp;O105),_xlfn.IFS(IFERROR(SEARCH("diw",_xlpm.txt),0)&gt;0,"diw",IFERROR(SEARCH("cost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5" s="54" t="s">
        <v>102</v>
      </c>
    </row>
    <row r="106" spans="1:20" ht="28.5" hidden="1" x14ac:dyDescent="0.45">
      <c r="A106" s="54">
        <f>raw!A106</f>
        <v>71</v>
      </c>
      <c r="B106" s="54" t="str">
        <f>raw!B106</f>
        <v>Task Update</v>
      </c>
      <c r="C106" s="54" t="str">
        <f>raw!C106</f>
        <v>System</v>
      </c>
      <c r="D106" s="54" t="str">
        <f>raw!D106</f>
        <v>Must</v>
      </c>
      <c r="E106" s="54" t="str">
        <f>raw!E106</f>
        <v>Bug</v>
      </c>
      <c r="F106" s="54" t="str">
        <f>raw!F106</f>
        <v>L02 - Task Enable/Disabled : User needs to click on save button</v>
      </c>
      <c r="G106" s="55">
        <f>raw!G106</f>
        <v>46114</v>
      </c>
      <c r="H106" s="54" t="str">
        <f>raw!H106</f>
        <v>Praveen on Ray's Behalf</v>
      </c>
      <c r="I106" s="54">
        <f>raw!I106</f>
        <v>0</v>
      </c>
      <c r="J106" s="54" t="str">
        <f>raw!J106</f>
        <v>Bug</v>
      </c>
      <c r="K106" s="54" t="str">
        <f>raw!K106</f>
        <v>P4</v>
      </c>
      <c r="L106" s="54">
        <f>raw!L106</f>
        <v>0</v>
      </c>
      <c r="M106" s="54" t="str">
        <f>raw!M106</f>
        <v>Enable/Disable to make the change and click on save. To be fixed in Patch 2</v>
      </c>
      <c r="N106" s="54">
        <f>raw!N106</f>
        <v>0</v>
      </c>
      <c r="O106" s="54" t="str">
        <f>raw!O106</f>
        <v>Low</v>
      </c>
      <c r="P106" s="54">
        <f>raw!P106</f>
        <v>0</v>
      </c>
      <c r="Q106" s="54">
        <f>raw!Q106</f>
        <v>0</v>
      </c>
      <c r="R106" s="54" t="str" cm="1">
        <f t="array" ref="R106">_xlfn.LET(_xlpm.txt,LOWER(B106&amp;" "&amp;C106&amp;" "&amp;F106&amp;" "&amp;M106&amp;" "&amp;O106),_xlfn.IFS(OR(IFERROR(SEARCH("diw",_xlpm.txt),0)&gt;0,IFERROR(SEARCH("cost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6" s="54" t="str" cm="1">
        <f t="array" ref="S106">_xlfn.LET(_xlpm.txt,LOWER(B106&amp;" "&amp;C106&amp;" "&amp;F106&amp;" "&amp;M106&amp;" "&amp;O106),_xlfn.IFS(IFERROR(SEARCH("diw",_xlpm.txt),0)&gt;0,"diw",IFERROR(SEARCH("cost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6" s="54" t="s">
        <v>63</v>
      </c>
    </row>
    <row r="107" spans="1:20" ht="28.5" hidden="1" x14ac:dyDescent="0.45">
      <c r="A107" s="54">
        <f>raw!A108</f>
        <v>73</v>
      </c>
      <c r="B107" s="54" t="str">
        <f>raw!B108</f>
        <v>Task Screen</v>
      </c>
      <c r="C107" s="54" t="str">
        <f>raw!C108</f>
        <v>System</v>
      </c>
      <c r="D107" s="54" t="str">
        <f>raw!D108</f>
        <v>Must</v>
      </c>
      <c r="E107" s="54" t="str">
        <f>raw!E108</f>
        <v>Bug</v>
      </c>
      <c r="F107" s="54" t="str">
        <f>raw!F108</f>
        <v>U04 - Interface issue - Window not moveable</v>
      </c>
      <c r="G107" s="55">
        <f>raw!G108</f>
        <v>46114</v>
      </c>
      <c r="H107" s="54" t="str">
        <f>raw!H108</f>
        <v>Praveen on Ray's Behalf</v>
      </c>
      <c r="I107" s="54">
        <f>raw!I108</f>
        <v>0</v>
      </c>
      <c r="J107" s="54" t="str">
        <f>raw!J108</f>
        <v>Bug</v>
      </c>
      <c r="K107" s="54" t="str">
        <f>raw!K108</f>
        <v>P4</v>
      </c>
      <c r="L107" s="54">
        <f>raw!L108</f>
        <v>0</v>
      </c>
      <c r="M107" s="54" t="str">
        <f>raw!M108</f>
        <v>To be fixed in Patch 2</v>
      </c>
      <c r="N107" s="54">
        <f>raw!N108</f>
        <v>0</v>
      </c>
      <c r="O107" s="54" t="str">
        <f>raw!O108</f>
        <v>Medium</v>
      </c>
      <c r="P107" s="54">
        <f>raw!P108</f>
        <v>0</v>
      </c>
      <c r="Q107" s="54">
        <f>raw!Q108</f>
        <v>0</v>
      </c>
      <c r="R107" s="54" t="str" cm="1">
        <f t="array" ref="R107">_xlfn.LET(_xlpm.txt,LOWER(B107&amp;" "&amp;C107&amp;" "&amp;F107&amp;" "&amp;M107&amp;" "&amp;O107),_xlfn.IFS(OR(IFERROR(SEARCH("diw",_xlpm.txt),0)&gt;0,IFERROR(SEARCH("cost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7" s="54" t="str" cm="1">
        <f t="array" ref="S107">_xlfn.LET(_xlpm.txt,LOWER(B107&amp;" "&amp;C107&amp;" "&amp;F107&amp;" "&amp;M107&amp;" "&amp;O107),_xlfn.IFS(IFERROR(SEARCH("diw",_xlpm.txt),0)&gt;0,"diw",IFERROR(SEARCH("cost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7" s="54" t="s">
        <v>48</v>
      </c>
    </row>
    <row r="108" spans="1:20" ht="42.75" hidden="1" x14ac:dyDescent="0.45">
      <c r="A108" s="54">
        <f>raw!A110</f>
        <v>75</v>
      </c>
      <c r="B108" s="54" t="str">
        <f>raw!B110</f>
        <v>Task Screen</v>
      </c>
      <c r="C108" s="54" t="str">
        <f>raw!C110</f>
        <v>System</v>
      </c>
      <c r="D108" s="54" t="str">
        <f>raw!D110</f>
        <v>Must</v>
      </c>
      <c r="E108" s="54" t="str">
        <f>raw!E110</f>
        <v>Bug</v>
      </c>
      <c r="F108" s="54" t="str">
        <f>raw!F110</f>
        <v xml:space="preserve">U12 - Task Screen : Hard to identify streamer and task </v>
      </c>
      <c r="G108" s="55">
        <f>raw!G110</f>
        <v>46114</v>
      </c>
      <c r="H108" s="54" t="str">
        <f>raw!H110</f>
        <v>Praveen on Ray's Behalf</v>
      </c>
      <c r="I108" s="54">
        <f>raw!I110</f>
        <v>0</v>
      </c>
      <c r="J108" s="54" t="str">
        <f>raw!J110</f>
        <v>Bug</v>
      </c>
      <c r="K108" s="54" t="str">
        <f>raw!K110</f>
        <v>P4</v>
      </c>
      <c r="L108" s="54">
        <f>raw!L110</f>
        <v>0</v>
      </c>
      <c r="M108" s="54" t="str">
        <f>raw!M110</f>
        <v xml:space="preserve">Syncfusion doesn’t support 2 columns. Font size of the Streamer name to be increased with Streamer name in bold </v>
      </c>
      <c r="N108" s="54">
        <f>raw!N110</f>
        <v>0</v>
      </c>
      <c r="O108" s="54" t="str">
        <f>raw!O110</f>
        <v>Medium</v>
      </c>
      <c r="P108" s="54">
        <f>raw!P110</f>
        <v>0</v>
      </c>
      <c r="Q108" s="54">
        <f>raw!Q110</f>
        <v>0</v>
      </c>
      <c r="R108" s="54" t="str" cm="1">
        <f t="array" ref="R108">_xlfn.LET(_xlpm.txt,LOWER(B108&amp;" "&amp;C108&amp;" "&amp;F108&amp;" "&amp;M108&amp;" "&amp;O108),_xlfn.IFS(OR(IFERROR(SEARCH("diw",_xlpm.txt),0)&gt;0,IFERROR(SEARCH("cost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8" s="54" t="str" cm="1">
        <f t="array" ref="S108">_xlfn.LET(_xlpm.txt,LOWER(B108&amp;" "&amp;C108&amp;" "&amp;F108&amp;" "&amp;M108&amp;" "&amp;O108),_xlfn.IFS(IFERROR(SEARCH("diw",_xlpm.txt),0)&gt;0,"diw",IFERROR(SEARCH("cost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8" s="54" t="s">
        <v>48</v>
      </c>
    </row>
    <row r="109" spans="1:20" ht="28.5" hidden="1" x14ac:dyDescent="0.45">
      <c r="A109" s="54">
        <f>raw!A112</f>
        <v>77</v>
      </c>
      <c r="B109" s="54" t="str">
        <f>raw!B112</f>
        <v>Task Screen</v>
      </c>
      <c r="C109" s="54" t="str">
        <f>raw!C112</f>
        <v>System</v>
      </c>
      <c r="D109" s="54" t="str">
        <f>raw!D112</f>
        <v>Must</v>
      </c>
      <c r="E109" s="54" t="str">
        <f>raw!E112</f>
        <v>Bug</v>
      </c>
      <c r="F109" s="54" t="str">
        <f>_xlfn.TEXTJOIN(CHAR(10),TRUE,raw!F112:F113)</f>
        <v>U12 - Task Screen : Hard to identify streamer and task
Duplicated, refer to #75</v>
      </c>
      <c r="G109" s="55">
        <f>raw!G112</f>
        <v>46114</v>
      </c>
      <c r="H109" s="54" t="str">
        <f>raw!H112</f>
        <v>Praveen on Ray's Behalf</v>
      </c>
      <c r="I109" s="54">
        <f>raw!I112</f>
        <v>0</v>
      </c>
      <c r="J109" s="54" t="str">
        <f>raw!J112</f>
        <v>Bug</v>
      </c>
      <c r="K109" s="54" t="str">
        <f>raw!K112</f>
        <v>P4</v>
      </c>
      <c r="L109" s="54">
        <f>raw!L112</f>
        <v>0</v>
      </c>
      <c r="M109" s="54" t="str">
        <f>_xlfn.TEXTJOIN(CHAR(10),TRUE,raw!M112:M113)</f>
        <v/>
      </c>
      <c r="N109" s="54">
        <f>raw!N112</f>
        <v>0</v>
      </c>
      <c r="O109" s="54" t="str">
        <f>_xlfn.TEXTJOIN(CHAR(10),TRUE,raw!O112:O113)</f>
        <v>Removed</v>
      </c>
      <c r="P109" s="54">
        <f>raw!P112</f>
        <v>0</v>
      </c>
      <c r="Q109" s="54" t="str">
        <f>raw!Q112</f>
        <v>Closed</v>
      </c>
      <c r="R109" s="54" t="str" cm="1">
        <f t="array" ref="R109">_xlfn.LET(_xlpm.txt,LOWER(B109&amp;" "&amp;C109&amp;" "&amp;F109&amp;" "&amp;M109&amp;" "&amp;O109),_xlfn.IFS(OR(IFERROR(SEARCH("diw",_xlpm.txt),0)&gt;0,IFERROR(SEARCH("cost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09" s="54" t="str" cm="1">
        <f t="array" ref="S109">_xlfn.LET(_xlpm.txt,LOWER(B109&amp;" "&amp;C109&amp;" "&amp;F109&amp;" "&amp;M109&amp;" "&amp;O109),_xlfn.IFS(IFERROR(SEARCH("diw",_xlpm.txt),0)&gt;0,"diw",IFERROR(SEARCH("cost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09" s="54" t="s">
        <v>59</v>
      </c>
    </row>
    <row r="110" spans="1:20" ht="28.5" hidden="1" x14ac:dyDescent="0.45">
      <c r="A110" s="54">
        <f>raw!A114</f>
        <v>78</v>
      </c>
      <c r="B110" s="54" t="str">
        <f>raw!B114</f>
        <v>Task Screen</v>
      </c>
      <c r="C110" s="54" t="str">
        <f>raw!C114</f>
        <v>System</v>
      </c>
      <c r="D110" s="54" t="str">
        <f>raw!D114</f>
        <v>Must</v>
      </c>
      <c r="E110" s="54" t="str">
        <f>raw!E114</f>
        <v>Bug</v>
      </c>
      <c r="F110" s="54" t="str">
        <f>raw!F114</f>
        <v>F03 - all the input in the comments box disappeared after save</v>
      </c>
      <c r="G110" s="55">
        <f>raw!G114</f>
        <v>46114</v>
      </c>
      <c r="H110" s="54" t="str">
        <f>raw!H114</f>
        <v>Praveen on Ray's Behalf</v>
      </c>
      <c r="I110" s="54">
        <f>raw!I114</f>
        <v>0</v>
      </c>
      <c r="J110" s="54" t="str">
        <f>raw!J114</f>
        <v>None</v>
      </c>
      <c r="K110" s="54">
        <f>raw!K114</f>
        <v>0</v>
      </c>
      <c r="L110" s="54">
        <f>raw!L114</f>
        <v>0</v>
      </c>
      <c r="M110" s="54" t="str">
        <f>raw!M114</f>
        <v xml:space="preserve">Not a bug, works as expected </v>
      </c>
      <c r="N110" s="54">
        <f>raw!N114</f>
        <v>0</v>
      </c>
      <c r="O110" s="54" t="str">
        <f>raw!O114</f>
        <v>High</v>
      </c>
      <c r="P110" s="54">
        <f>raw!P114</f>
        <v>0</v>
      </c>
      <c r="Q110" s="54">
        <f>raw!Q114</f>
        <v>0</v>
      </c>
      <c r="R110" s="54" t="str" cm="1">
        <f t="array" ref="R110">_xlfn.LET(_xlpm.txt,LOWER(B110&amp;" "&amp;C110&amp;" "&amp;F110&amp;" "&amp;M110&amp;" "&amp;O110),_xlfn.IFS(OR(IFERROR(SEARCH("diw",_xlpm.txt),0)&gt;0,IFERROR(SEARCH("cost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0" s="54" t="str" cm="1">
        <f t="array" ref="S110">_xlfn.LET(_xlpm.txt,LOWER(B110&amp;" "&amp;C110&amp;" "&amp;F110&amp;" "&amp;M110&amp;" "&amp;O110),_xlfn.IFS(IFERROR(SEARCH("diw",_xlpm.txt),0)&gt;0,"diw",IFERROR(SEARCH("cost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10" s="54" t="s">
        <v>102</v>
      </c>
    </row>
    <row r="111" spans="1:20" ht="42.75" hidden="1" x14ac:dyDescent="0.45">
      <c r="A111" s="54">
        <f>raw!A118</f>
        <v>82</v>
      </c>
      <c r="B111" s="54" t="str">
        <f>raw!B118</f>
        <v>Admin -&gt; Template Management -&gt;  Amendment</v>
      </c>
      <c r="C111" s="54" t="str">
        <f>raw!C118</f>
        <v>System</v>
      </c>
      <c r="D111" s="54" t="str">
        <f>raw!D118</f>
        <v>Must</v>
      </c>
      <c r="E111" s="54" t="str">
        <f>raw!E118</f>
        <v>Bug</v>
      </c>
      <c r="F111" s="54" t="str">
        <f>_xlfn.TEXTJOIN(CHAR(10),TRUE,raw!F118:F119)</f>
        <v>The Task Owner update cannot be changed to another section code.
For example, after clicking “Save” and returning to review, no change is reflected.</v>
      </c>
      <c r="G111" s="55">
        <f>raw!G118</f>
        <v>46085</v>
      </c>
      <c r="H111" s="54" t="str">
        <f>raw!H118</f>
        <v>Ricky</v>
      </c>
      <c r="I111" s="54" t="str">
        <f>raw!I118</f>
        <v>Refer to Screen Capture</v>
      </c>
      <c r="J111" s="54" t="str">
        <f>raw!J118</f>
        <v>Bug</v>
      </c>
      <c r="K111" s="54" t="str">
        <f>raw!K118</f>
        <v>P3</v>
      </c>
      <c r="L111" s="54">
        <f>raw!L118</f>
        <v>0</v>
      </c>
      <c r="M111" s="54" t="str">
        <f>_xlfn.TEXTJOIN(CHAR(10),TRUE,raw!M118:M119)</f>
        <v>Changes reflects in review screen but if the user goes back to the screen then the changes not reflected, Issue fixed and pending deployment</v>
      </c>
      <c r="N111" s="54">
        <f>raw!N118</f>
        <v>0</v>
      </c>
      <c r="O111" s="54" t="str">
        <f>_xlfn.TEXTJOIN(CHAR(10),TRUE,raw!O118:O119)</f>
        <v>Medium</v>
      </c>
      <c r="P111" s="54">
        <f>raw!P118</f>
        <v>0</v>
      </c>
      <c r="Q111" s="54" t="str">
        <f>raw!Q118</f>
        <v>Fixed</v>
      </c>
      <c r="R111" s="54" t="str" cm="1">
        <f t="array" ref="R111">_xlfn.LET(_xlpm.txt,LOWER(B111&amp;" "&amp;C111&amp;" "&amp;F111&amp;" "&amp;M111&amp;" "&amp;O111),_xlfn.IFS(OR(IFERROR(SEARCH("diw",_xlpm.txt),0)&gt;0,IFERROR(SEARCH("cost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1" s="54" t="str" cm="1">
        <f t="array" ref="S111">_xlfn.LET(_xlpm.txt,LOWER(B111&amp;" "&amp;C111&amp;" "&amp;F111&amp;" "&amp;M111&amp;" "&amp;O111),_xlfn.IFS(IFERROR(SEARCH("diw",_xlpm.txt),0)&gt;0,"diw",IFERROR(SEARCH("cost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11" s="54" t="s">
        <v>48</v>
      </c>
    </row>
    <row r="112" spans="1:20" ht="28.5" hidden="1" x14ac:dyDescent="0.45">
      <c r="A112" s="54">
        <f>raw!A120</f>
        <v>83</v>
      </c>
      <c r="B112" s="54" t="str">
        <f>raw!B120</f>
        <v xml:space="preserve">Admin -&gt; Template Management </v>
      </c>
      <c r="C112" s="54" t="str">
        <f>raw!C120</f>
        <v>System</v>
      </c>
      <c r="D112" s="54" t="str">
        <f>raw!D120</f>
        <v>Must</v>
      </c>
      <c r="E112" s="54" t="str">
        <f>raw!E120</f>
        <v>Bug</v>
      </c>
      <c r="F112" s="54" t="str">
        <f>raw!F120</f>
        <v xml:space="preserve">Tasks 11, 16, 21, and 25 are hidden and can't add back </v>
      </c>
      <c r="G112" s="55">
        <f>raw!G120</f>
        <v>46115</v>
      </c>
      <c r="H112" s="54" t="str">
        <f>raw!H120</f>
        <v>Ricky</v>
      </c>
      <c r="I112" s="54" t="str">
        <f>raw!I120</f>
        <v>Refer to Screen Capture</v>
      </c>
      <c r="J112" s="54" t="str">
        <f>raw!J120</f>
        <v>Bug</v>
      </c>
      <c r="K112" s="54" t="str">
        <f>raw!K120</f>
        <v>P1</v>
      </c>
      <c r="L112" s="54">
        <f>raw!L120</f>
        <v>0</v>
      </c>
      <c r="M112" s="54" t="str">
        <f>raw!M120</f>
        <v>Bug. fixed</v>
      </c>
      <c r="N112" s="54">
        <f>raw!N120</f>
        <v>0</v>
      </c>
      <c r="O112" s="54" t="str">
        <f>raw!O120</f>
        <v>High</v>
      </c>
      <c r="P112" s="54">
        <f>raw!P120</f>
        <v>0</v>
      </c>
      <c r="Q112" s="54" t="str">
        <f>raw!Q120</f>
        <v>Fixed</v>
      </c>
      <c r="R112" s="54" t="str" cm="1">
        <f t="array" ref="R112">_xlfn.LET(_xlpm.txt,LOWER(B112&amp;" "&amp;C112&amp;" "&amp;F112&amp;" "&amp;M112&amp;" "&amp;O112),_xlfn.IFS(OR(IFERROR(SEARCH("diw",_xlpm.txt),0)&gt;0,IFERROR(SEARCH("cost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2" s="54" t="str" cm="1">
        <f t="array" ref="S112">_xlfn.LET(_xlpm.txt,LOWER(B112&amp;" "&amp;C112&amp;" "&amp;F112&amp;" "&amp;M112&amp;" "&amp;O112),_xlfn.IFS(IFERROR(SEARCH("diw",_xlpm.txt),0)&gt;0,"diw",IFERROR(SEARCH("cost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tasks</v>
      </c>
      <c r="T112" s="54" t="s">
        <v>102</v>
      </c>
    </row>
    <row r="113" spans="1:20" ht="42.75" hidden="1" x14ac:dyDescent="0.45">
      <c r="A113" s="54">
        <f>raw!A130</f>
        <v>89</v>
      </c>
      <c r="B113" s="54" t="str">
        <f>raw!B130</f>
        <v>Streamers-&gt; Task</v>
      </c>
      <c r="C113" s="54" t="str">
        <f>raw!C130</f>
        <v>System</v>
      </c>
      <c r="D113" s="54" t="str">
        <f>raw!D130</f>
        <v>Should</v>
      </c>
      <c r="E113" s="54">
        <f>raw!E130</f>
        <v>0</v>
      </c>
      <c r="F113" s="54" t="str">
        <f>_xlfn.TEXTJOIN(CHAR(10),TRUE,raw!F130:F131)</f>
        <v>1.In the Task section, only tasks that have not yet been entered should be displayed.
2.after update actual date and save .tarage Engine should not close</v>
      </c>
      <c r="G113" s="55">
        <f>raw!G130</f>
        <v>46118</v>
      </c>
      <c r="H113" s="54" t="str">
        <f>raw!H130</f>
        <v>Edmond</v>
      </c>
      <c r="I113" s="54" t="str">
        <f>raw!I130</f>
        <v>Refer to Screen Capture</v>
      </c>
      <c r="J113" s="54" t="str">
        <f>raw!J130</f>
        <v>None</v>
      </c>
      <c r="K113" s="54">
        <f>raw!K130</f>
        <v>0</v>
      </c>
      <c r="L113" s="54">
        <f>raw!L130</f>
        <v>0</v>
      </c>
      <c r="M113" s="54" t="str">
        <f>_xlfn.TEXTJOIN(CHAR(10),TRUE,raw!M130:M131)</f>
        <v>Not clear @Ray</v>
      </c>
      <c r="N113" s="54">
        <f>raw!N130</f>
        <v>0</v>
      </c>
      <c r="O113" s="54" t="str">
        <f>_xlfn.TEXTJOIN(CHAR(10),TRUE,raw!O130:O131)</f>
        <v>Medium</v>
      </c>
      <c r="P113" s="54">
        <f>raw!P130</f>
        <v>0</v>
      </c>
      <c r="Q113" s="54" t="str">
        <f>raw!Q130</f>
        <v>Not yet fix</v>
      </c>
      <c r="R113" s="54" t="str" cm="1">
        <f t="array" ref="R113">_xlfn.LET(_xlpm.txt,LOWER(B113&amp;" "&amp;C113&amp;" "&amp;F113&amp;" "&amp;M113&amp;" "&amp;O113),_xlfn.IFS(OR(IFERROR(SEARCH("diw",_xlpm.txt),0)&gt;0,IFERROR(SEARCH("cost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3" s="54" t="str" cm="1">
        <f t="array" ref="S113">_xlfn.LET(_xlpm.txt,LOWER(B113&amp;" "&amp;C113&amp;" "&amp;F113&amp;" "&amp;M113&amp;" "&amp;O113),_xlfn.IFS(IFERROR(SEARCH("diw",_xlpm.txt),0)&gt;0,"diw",IFERROR(SEARCH("cost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13" s="54" t="s">
        <v>48</v>
      </c>
    </row>
    <row r="114" spans="1:20" ht="28.5" hidden="1" x14ac:dyDescent="0.45">
      <c r="A114" s="54">
        <f>raw!A132</f>
        <v>90</v>
      </c>
      <c r="B114" s="54" t="str">
        <f>raw!B132</f>
        <v>Streamers-&gt; Task</v>
      </c>
      <c r="C114" s="54" t="str">
        <f>raw!C132</f>
        <v>System</v>
      </c>
      <c r="D114" s="54" t="str">
        <f>raw!D132</f>
        <v>Should</v>
      </c>
      <c r="E114" s="54">
        <f>raw!E132</f>
        <v>0</v>
      </c>
      <c r="F114" s="54" t="str">
        <f>_xlfn.TEXTJOIN(CHAR(10),TRUE,raw!F132:F133)</f>
        <v>no print function in task section
TBD</v>
      </c>
      <c r="G114" s="55">
        <f>raw!G132</f>
        <v>46118</v>
      </c>
      <c r="H114" s="54" t="str">
        <f>raw!H132</f>
        <v>Edmond</v>
      </c>
      <c r="I114" s="54" t="str">
        <f>raw!I132</f>
        <v>Refer to Screen Capture</v>
      </c>
      <c r="J114" s="54" t="str">
        <f>raw!J132</f>
        <v>None</v>
      </c>
      <c r="K114" s="54">
        <f>raw!K132</f>
        <v>0</v>
      </c>
      <c r="L114" s="54">
        <f>raw!L132</f>
        <v>0</v>
      </c>
      <c r="M114" s="54" t="str">
        <f>_xlfn.TEXTJOIN(CHAR(10),TRUE,raw!M132:M133)</f>
        <v>Not a requirement</v>
      </c>
      <c r="N114" s="54">
        <f>raw!N132</f>
        <v>0</v>
      </c>
      <c r="O114" s="54" t="str">
        <f>_xlfn.TEXTJOIN(CHAR(10),TRUE,raw!O132:O133)</f>
        <v>Removed</v>
      </c>
      <c r="P114" s="54">
        <f>raw!P132</f>
        <v>0</v>
      </c>
      <c r="Q114" s="54" t="str">
        <f>raw!Q132</f>
        <v>Closed</v>
      </c>
      <c r="R114" s="54" t="str" cm="1">
        <f t="array" ref="R114">_xlfn.LET(_xlpm.txt,LOWER(B114&amp;" "&amp;C114&amp;" "&amp;F114&amp;" "&amp;M114&amp;" "&amp;O114),_xlfn.IFS(OR(IFERROR(SEARCH("diw",_xlpm.txt),0)&gt;0,IFERROR(SEARCH("cost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4" s="54" t="str" cm="1">
        <f t="array" ref="S114">_xlfn.LET(_xlpm.txt,LOWER(B114&amp;" "&amp;C114&amp;" "&amp;F114&amp;" "&amp;M114&amp;" "&amp;O114),_xlfn.IFS(IFERROR(SEARCH("diw",_xlpm.txt),0)&gt;0,"diw",IFERROR(SEARCH("cost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14" s="54" t="s">
        <v>59</v>
      </c>
    </row>
    <row r="115" spans="1:20" ht="28.5" hidden="1" x14ac:dyDescent="0.45">
      <c r="A115" s="54">
        <f>raw!A141</f>
        <v>94</v>
      </c>
      <c r="B115" s="54" t="str">
        <f>raw!B141</f>
        <v>Planner - Create Streamer</v>
      </c>
      <c r="C115" s="54" t="str">
        <f>raw!C141</f>
        <v>System</v>
      </c>
      <c r="D115" s="54" t="str">
        <f>raw!D141</f>
        <v>Should</v>
      </c>
      <c r="E115" s="54" t="str">
        <f>raw!E141</f>
        <v>Bug</v>
      </c>
      <c r="F115" s="54" t="str">
        <f>_xlfn.TEXTJOIN(CHAR(10),TRUE,raw!F141:F142)</f>
        <v>Task Selection → Task Owner (Create &amp; Review pages):
The data shown does not match.</v>
      </c>
      <c r="G115" s="55">
        <f>raw!G141</f>
        <v>46118</v>
      </c>
      <c r="H115" s="54" t="str">
        <f>raw!H141</f>
        <v>Ricky</v>
      </c>
      <c r="I115" s="54" t="str">
        <f>raw!I141</f>
        <v>Refer to Screen Capture</v>
      </c>
      <c r="J115" s="54" t="str">
        <f>raw!J141</f>
        <v>Bug</v>
      </c>
      <c r="K115" s="54" t="str">
        <f>raw!K141</f>
        <v>P4</v>
      </c>
      <c r="L115" s="54">
        <f>raw!L141</f>
        <v>0</v>
      </c>
      <c r="M115" s="54" t="str">
        <f>_xlfn.TEXTJOIN(CHAR(10),TRUE,raw!M141:M142)</f>
        <v xml:space="preserve">Template Create and review is not the same after changes </v>
      </c>
      <c r="N115" s="54">
        <f>raw!N141</f>
        <v>0</v>
      </c>
      <c r="O115" s="54" t="str">
        <f>_xlfn.TEXTJOIN(CHAR(10),TRUE,raw!O141:O142)</f>
        <v>High, bug</v>
      </c>
      <c r="P115" s="54">
        <f>raw!P141</f>
        <v>0</v>
      </c>
      <c r="Q115" s="54">
        <f>raw!Q141</f>
        <v>0</v>
      </c>
      <c r="R115" s="54" t="str" cm="1">
        <f t="array" ref="R115">_xlfn.LET(_xlpm.txt,LOWER(B115&amp;" "&amp;C115&amp;" "&amp;F115&amp;" "&amp;M115&amp;" "&amp;O115),_xlfn.IFS(OR(IFERROR(SEARCH("diw",_xlpm.txt),0)&gt;0,IFERROR(SEARCH("cost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5" s="54" t="str" cm="1">
        <f t="array" ref="S115">_xlfn.LET(_xlpm.txt,LOWER(B115&amp;" "&amp;C115&amp;" "&amp;F115&amp;" "&amp;M115&amp;" "&amp;O115),_xlfn.IFS(IFERROR(SEARCH("diw",_xlpm.txt),0)&gt;0,"diw",IFERROR(SEARCH("cost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15" s="54" t="s">
        <v>102</v>
      </c>
    </row>
    <row r="116" spans="1:20" ht="71.25" hidden="1" x14ac:dyDescent="0.45">
      <c r="A116" s="54">
        <f>raw!A144</f>
        <v>96</v>
      </c>
      <c r="B116" s="54" t="str">
        <f>raw!B144</f>
        <v>Planner - Task</v>
      </c>
      <c r="C116" s="54" t="str">
        <f>raw!C144</f>
        <v>System</v>
      </c>
      <c r="D116" s="54" t="str">
        <f>raw!D144</f>
        <v>Must</v>
      </c>
      <c r="E116" s="54">
        <f>raw!E144</f>
        <v>0</v>
      </c>
      <c r="F116" s="54" t="str">
        <f>_xlfn.TEXTJOIN(CHAR(10),TRUE,raw!F144:F148)</f>
        <v>1. Please add a checkbox to select Not Complete tasks.
2. Do not hide the task.
3. How can the Not Complete tasks be printed out?</v>
      </c>
      <c r="G116" s="55">
        <f>raw!G144</f>
        <v>46118</v>
      </c>
      <c r="H116" s="54" t="str">
        <f>raw!H144</f>
        <v>Ricky</v>
      </c>
      <c r="I116" s="54" t="str">
        <f>raw!I144</f>
        <v>Refer to Screen Capture</v>
      </c>
      <c r="J116" s="54" t="str">
        <f>raw!J144</f>
        <v>Enhancement</v>
      </c>
      <c r="K116" s="54">
        <f>raw!K144</f>
        <v>0</v>
      </c>
      <c r="L116" s="54">
        <f>raw!L144</f>
        <v>0</v>
      </c>
      <c r="M116" s="54" t="str">
        <f>_xlfn.TEXTJOIN(CHAR(10),TRUE,raw!M144:M148)</f>
        <v>1. Task Status can be added as filter in the Task screen @Ray - need your acceptance
2. Need additional details
3. Print option in task screen not part of requirement</v>
      </c>
      <c r="N116" s="54">
        <f>raw!N144</f>
        <v>0</v>
      </c>
      <c r="O116" s="54" t="str">
        <f>_xlfn.TEXTJOIN(CHAR(10),TRUE,raw!O144:O148)</f>
        <v>Medium</v>
      </c>
      <c r="P116" s="54">
        <f>raw!P144</f>
        <v>0</v>
      </c>
      <c r="Q116" s="54">
        <f>raw!Q144</f>
        <v>0</v>
      </c>
      <c r="R116" s="54" t="str" cm="1">
        <f t="array" ref="R116">_xlfn.LET(_xlpm.txt,LOWER(B116&amp;" "&amp;C116&amp;" "&amp;F116&amp;" "&amp;M116&amp;" "&amp;O116),_xlfn.IFS(OR(IFERROR(SEARCH("diw",_xlpm.txt),0)&gt;0,IFERROR(SEARCH("cost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6" s="54" t="str" cm="1">
        <f t="array" ref="S116">_xlfn.LET(_xlpm.txt,LOWER(B116&amp;" "&amp;C116&amp;" "&amp;F116&amp;" "&amp;M116&amp;" "&amp;O116),_xlfn.IFS(IFERROR(SEARCH("diw",_xlpm.txt),0)&gt;0,"diw",IFERROR(SEARCH("cost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16" s="54" t="s">
        <v>48</v>
      </c>
    </row>
    <row r="117" spans="1:20" ht="327.75" hidden="1" x14ac:dyDescent="0.45">
      <c r="A117" s="54">
        <f>raw!A149</f>
        <v>97</v>
      </c>
      <c r="B117" s="54" t="str">
        <f>raw!B149</f>
        <v>Planner - Create and Amend</v>
      </c>
      <c r="C117" s="54" t="str">
        <f>raw!C149</f>
        <v>System</v>
      </c>
      <c r="D117" s="54" t="str">
        <f>raw!D149</f>
        <v>Must</v>
      </c>
      <c r="E117" s="54">
        <f>raw!E149</f>
        <v>0</v>
      </c>
      <c r="F117" s="54" t="str">
        <f>_xlfn.TEXTJOIN(CHAR(10),TRUE,raw!F149:F168)</f>
        <v>Task 10 &amp; Task 15 – Task Owner Logic
Module Level Task Owner
If Module is L3 or L4, then Task Owner  = Bench
If Module Is L1 or L2, then Task Owner = Module Repair
(except for Module 34 which the task owner always be Module Change regardlesss of L1, L2, L3 or L4)
Engine Level Task Owner
If any of the Module Level task owner is Bench, then the Engine Level task owner is Bench
If the Active Module task owner consist both Module Repair or Module Chnage (for Module 34), then the Engine Level task owner is Module Repair
If the Active Module task owner consist only Module Repair, then the Engine Level task owner is Module Repair
If  the only Active Module task owner is Module Change (for Module 34), then the Engine Level task owner is Module Change (If only M34 active, Task 10 not active)
If none of the Module is active, then the Engine Level is also not active
Note. Module is not active when work level is L1, New, S/Rec'd
Applicable Modules
M31, M32, M33, M34, M41, M51, M52, M61, Engine Mount
New or S/R Status
Blank or MR</v>
      </c>
      <c r="G117" s="55">
        <f>raw!G149</f>
        <v>46118</v>
      </c>
      <c r="H117" s="54" t="str">
        <f>raw!H149</f>
        <v>Ricky</v>
      </c>
      <c r="I117" s="54">
        <f>raw!I149</f>
        <v>0</v>
      </c>
      <c r="J117" s="54" t="str">
        <f>raw!J149</f>
        <v>Enhancement</v>
      </c>
      <c r="K117" s="54">
        <f>raw!K149</f>
        <v>0</v>
      </c>
      <c r="L117" s="54">
        <f>raw!L149</f>
        <v>0</v>
      </c>
      <c r="M117" s="54" t="str">
        <f>_xlfn.TEXTJOIN(CHAR(10),TRUE,raw!M149:M168)</f>
        <v xml:space="preserve">Not covered in the requirement </v>
      </c>
      <c r="N117" s="54">
        <f>raw!N149</f>
        <v>0</v>
      </c>
      <c r="O117" s="54" t="str">
        <f>_xlfn.TEXTJOIN(CHAR(10),TRUE,raw!O149:O168)</f>
        <v>High, operational risk</v>
      </c>
      <c r="P117" s="54">
        <f>raw!P149</f>
        <v>0</v>
      </c>
      <c r="Q117" s="54">
        <f>raw!Q149</f>
        <v>0</v>
      </c>
      <c r="R117" s="54" t="str" cm="1">
        <f t="array" ref="R117">_xlfn.LET(_xlpm.txt,LOWER(B117&amp;" "&amp;C117&amp;" "&amp;F117&amp;" "&amp;M117&amp;" "&amp;O117),_xlfn.IFS(OR(IFERROR(SEARCH("diw",_xlpm.txt),0)&gt;0,IFERROR(SEARCH("cost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7" s="54" t="str" cm="1">
        <f t="array" ref="S117">_xlfn.LET(_xlpm.txt,LOWER(B117&amp;" "&amp;C117&amp;" "&amp;F117&amp;" "&amp;M117&amp;" "&amp;O117),_xlfn.IFS(IFERROR(SEARCH("diw",_xlpm.txt),0)&gt;0,"diw",IFERROR(SEARCH("cost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17" s="54" t="s">
        <v>102</v>
      </c>
    </row>
    <row r="118" spans="1:20" ht="28.5" hidden="1" x14ac:dyDescent="0.45">
      <c r="A118" s="54">
        <f>raw!A169</f>
        <v>98</v>
      </c>
      <c r="B118" s="54" t="str">
        <f>raw!B169</f>
        <v>Planner - Task</v>
      </c>
      <c r="C118" s="54" t="str">
        <f>raw!C169</f>
        <v>System</v>
      </c>
      <c r="D118" s="54" t="str">
        <f>raw!D169</f>
        <v>Must</v>
      </c>
      <c r="E118" s="54">
        <f>raw!E169</f>
        <v>0</v>
      </c>
      <c r="F118" s="54" t="str">
        <f>_xlfn.TEXTJOIN(CHAR(10),TRUE,raw!F169:F170)</f>
        <v>Table line not match
Duplicated, Refer to #7</v>
      </c>
      <c r="G118" s="55">
        <f>raw!G169</f>
        <v>46119</v>
      </c>
      <c r="H118" s="54" t="str">
        <f>raw!H169</f>
        <v>Edmond</v>
      </c>
      <c r="I118" s="54" t="str">
        <f>raw!I169</f>
        <v>Refer to Screen Capture</v>
      </c>
      <c r="J118" s="54" t="str">
        <f>raw!J169</f>
        <v>Bug</v>
      </c>
      <c r="K118" s="54" t="str">
        <f>raw!K169</f>
        <v>P4</v>
      </c>
      <c r="L118" s="54">
        <f>raw!L169</f>
        <v>0</v>
      </c>
      <c r="M118" s="54" t="str">
        <f>_xlfn.TEXTJOIN(CHAR(10),TRUE,raw!M169:M170)</f>
        <v xml:space="preserve">Syncfusion issue, working with them </v>
      </c>
      <c r="N118" s="54">
        <f>raw!N169</f>
        <v>0</v>
      </c>
      <c r="O118" s="54" t="str">
        <f>_xlfn.TEXTJOIN(CHAR(10),TRUE,raw!O169:O170)</f>
        <v>low, not yet fixed</v>
      </c>
      <c r="P118" s="54">
        <f>raw!P169</f>
        <v>0</v>
      </c>
      <c r="Q118" s="54">
        <f>raw!Q169</f>
        <v>0</v>
      </c>
      <c r="R118" s="54" t="str" cm="1">
        <f t="array" ref="R118">_xlfn.LET(_xlpm.txt,LOWER(B118&amp;" "&amp;C118&amp;" "&amp;F118&amp;" "&amp;M118&amp;" "&amp;O118),_xlfn.IFS(OR(IFERROR(SEARCH("diw",_xlpm.txt),0)&gt;0,IFERROR(SEARCH("cost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8" s="54" t="str" cm="1">
        <f t="array" ref="S118">_xlfn.LET(_xlpm.txt,LOWER(B118&amp;" "&amp;C118&amp;" "&amp;F118&amp;" "&amp;M118&amp;" "&amp;O118),_xlfn.IFS(IFERROR(SEARCH("diw",_xlpm.txt),0)&gt;0,"diw",IFERROR(SEARCH("cost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18" s="54" t="s">
        <v>467</v>
      </c>
    </row>
    <row r="119" spans="1:20" ht="28.5" hidden="1" x14ac:dyDescent="0.45">
      <c r="A119" s="54">
        <f>raw!A171</f>
        <v>99</v>
      </c>
      <c r="B119" s="54" t="str">
        <f>raw!B171</f>
        <v>Tasks</v>
      </c>
      <c r="C119" s="54" t="str">
        <f>raw!C171</f>
        <v>System</v>
      </c>
      <c r="D119" s="54" t="str">
        <f>raw!D171</f>
        <v>Must</v>
      </c>
      <c r="E119" s="54" t="str">
        <f>raw!E171</f>
        <v>Enhancement</v>
      </c>
      <c r="F119" s="54" t="str">
        <f>raw!F171</f>
        <v>Add task status filter in the page, planner/task owner could select WIP/Disabled/Completed to filter the task list</v>
      </c>
      <c r="G119" s="55">
        <f>raw!G171</f>
        <v>46120</v>
      </c>
      <c r="H119" s="54" t="str">
        <f>raw!H171</f>
        <v>Ray</v>
      </c>
      <c r="I119" s="54" t="str">
        <f>raw!I171</f>
        <v>N/A</v>
      </c>
      <c r="J119" s="54" t="str">
        <f>raw!J171</f>
        <v>Enhancement</v>
      </c>
      <c r="K119" s="54">
        <f>raw!K171</f>
        <v>0</v>
      </c>
      <c r="L119" s="54">
        <f>raw!L171</f>
        <v>0</v>
      </c>
      <c r="M119" s="54">
        <f>raw!M171</f>
        <v>0</v>
      </c>
      <c r="N119" s="54">
        <f>raw!N171</f>
        <v>0</v>
      </c>
      <c r="O119" s="54" t="str">
        <f>raw!O171</f>
        <v>Medium, operational risk</v>
      </c>
      <c r="P119" s="54">
        <f>raw!P171</f>
        <v>0</v>
      </c>
      <c r="Q119" s="54">
        <f>raw!Q171</f>
        <v>0</v>
      </c>
      <c r="R119" s="54" t="str" cm="1">
        <f t="array" ref="R119">_xlfn.LET(_xlpm.txt,LOWER(B119&amp;" "&amp;C119&amp;" "&amp;F119&amp;" "&amp;M119&amp;" "&amp;O119),_xlfn.IFS(OR(IFERROR(SEARCH("diw",_xlpm.txt),0)&gt;0,IFERROR(SEARCH("cost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19" s="54" t="str" cm="1">
        <f t="array" ref="S119">_xlfn.LET(_xlpm.txt,LOWER(B119&amp;" "&amp;C119&amp;" "&amp;F119&amp;" "&amp;M119&amp;" "&amp;O119),_xlfn.IFS(IFERROR(SEARCH("diw",_xlpm.txt),0)&gt;0,"diw",IFERROR(SEARCH("cost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19" s="54" t="s">
        <v>48</v>
      </c>
    </row>
    <row r="120" spans="1:20" hidden="1" x14ac:dyDescent="0.45">
      <c r="A120" s="54">
        <f>raw!A172</f>
        <v>100</v>
      </c>
      <c r="B120" s="54" t="str">
        <f>raw!B172</f>
        <v>Tasks</v>
      </c>
      <c r="C120" s="54" t="str">
        <f>raw!C172</f>
        <v>System</v>
      </c>
      <c r="D120" s="54" t="str">
        <f>raw!D172</f>
        <v>Must</v>
      </c>
      <c r="E120" s="54">
        <f>raw!E172</f>
        <v>0</v>
      </c>
      <c r="F120" s="54" t="str">
        <f>raw!F172</f>
        <v>Add toggle button to expand the task list for each streamer</v>
      </c>
      <c r="G120" s="55">
        <f>raw!G172</f>
        <v>46120</v>
      </c>
      <c r="H120" s="54" t="str">
        <f>raw!H172</f>
        <v>Ray</v>
      </c>
      <c r="I120" s="54" t="str">
        <f>raw!I172</f>
        <v>N/A</v>
      </c>
      <c r="J120" s="54" t="str">
        <f>raw!J172</f>
        <v>Enhancement</v>
      </c>
      <c r="K120" s="54">
        <f>raw!K172</f>
        <v>0</v>
      </c>
      <c r="L120" s="54">
        <f>raw!L172</f>
        <v>0</v>
      </c>
      <c r="M120" s="54" t="str">
        <f>raw!M172</f>
        <v>Toggle button attribute @Ray</v>
      </c>
      <c r="N120" s="54">
        <f>raw!N172</f>
        <v>0</v>
      </c>
      <c r="O120" s="54" t="str">
        <f>raw!O172</f>
        <v>Low</v>
      </c>
      <c r="P120" s="54">
        <f>raw!P172</f>
        <v>0</v>
      </c>
      <c r="Q120" s="54">
        <f>raw!Q172</f>
        <v>0</v>
      </c>
      <c r="R120" s="54" t="str" cm="1">
        <f t="array" ref="R120">_xlfn.LET(_xlpm.txt,LOWER(B120&amp;" "&amp;C120&amp;" "&amp;F120&amp;" "&amp;M120&amp;" "&amp;O120),_xlfn.IFS(OR(IFERROR(SEARCH("diw",_xlpm.txt),0)&gt;0,IFERROR(SEARCH("cost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0" s="54" t="str" cm="1">
        <f t="array" ref="S120">_xlfn.LET(_xlpm.txt,LOWER(B120&amp;" "&amp;C120&amp;" "&amp;F120&amp;" "&amp;M120&amp;" "&amp;O120),_xlfn.IFS(IFERROR(SEARCH("diw",_xlpm.txt),0)&gt;0,"diw",IFERROR(SEARCH("cost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0" s="54" t="s">
        <v>63</v>
      </c>
    </row>
    <row r="121" spans="1:20" hidden="1" x14ac:dyDescent="0.45">
      <c r="A121" s="54">
        <f>raw!A173</f>
        <v>101</v>
      </c>
      <c r="B121" s="54" t="str">
        <f>raw!B173</f>
        <v>User access</v>
      </c>
      <c r="C121" s="54" t="str">
        <f>raw!C173</f>
        <v>System</v>
      </c>
      <c r="D121" s="54" t="str">
        <f>raw!D173</f>
        <v>Must</v>
      </c>
      <c r="E121" s="54" t="str">
        <f>raw!E173</f>
        <v>None</v>
      </c>
      <c r="F121" s="54" t="str">
        <f>raw!F173</f>
        <v>Staff/Task Owner only able to view Streamer and Tasks</v>
      </c>
      <c r="G121" s="55">
        <f>raw!G173</f>
        <v>46121</v>
      </c>
      <c r="H121" s="54" t="str">
        <f>raw!H173</f>
        <v>Ray</v>
      </c>
      <c r="I121" s="54" t="str">
        <f>raw!I173</f>
        <v>N/A</v>
      </c>
      <c r="J121" s="54" t="str">
        <f>raw!J173</f>
        <v>Enhancement</v>
      </c>
      <c r="K121" s="54">
        <f>raw!K173</f>
        <v>0</v>
      </c>
      <c r="L121" s="54">
        <f>raw!L173</f>
        <v>0</v>
      </c>
      <c r="M121" s="54" t="str">
        <f>raw!M173</f>
        <v>As per requirement</v>
      </c>
      <c r="N121" s="54">
        <f>raw!N173</f>
        <v>0</v>
      </c>
      <c r="O121" s="54" t="str">
        <f>raw!O173</f>
        <v>low, fixed</v>
      </c>
      <c r="P121" s="54">
        <f>raw!P173</f>
        <v>0</v>
      </c>
      <c r="Q121" s="54">
        <f>raw!Q173</f>
        <v>0</v>
      </c>
      <c r="R121" s="54" t="str" cm="1">
        <f t="array" ref="R121">_xlfn.LET(_xlpm.txt,LOWER(B121&amp;" "&amp;C121&amp;" "&amp;F121&amp;" "&amp;M121&amp;" "&amp;O121),_xlfn.IFS(OR(IFERROR(SEARCH("diw",_xlpm.txt),0)&gt;0,IFERROR(SEARCH("cost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1" s="54" t="str" cm="1">
        <f t="array" ref="S121">_xlfn.LET(_xlpm.txt,LOWER(B121&amp;" "&amp;C121&amp;" "&amp;F121&amp;" "&amp;M121&amp;" "&amp;O121),_xlfn.IFS(IFERROR(SEARCH("diw",_xlpm.txt),0)&gt;0,"diw",IFERROR(SEARCH("cost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21" s="54" t="s">
        <v>467</v>
      </c>
    </row>
    <row r="122" spans="1:20" hidden="1" x14ac:dyDescent="0.45">
      <c r="A122" s="54">
        <f>raw!A174</f>
        <v>102</v>
      </c>
      <c r="B122" s="54" t="str">
        <f>raw!B174</f>
        <v>Tasks</v>
      </c>
      <c r="C122" s="54" t="str">
        <f>raw!C174</f>
        <v>System</v>
      </c>
      <c r="D122" s="54" t="str">
        <f>raw!D174</f>
        <v>Must</v>
      </c>
      <c r="E122" s="54" t="str">
        <f>raw!E174</f>
        <v>Enhancement</v>
      </c>
      <c r="F122" s="54" t="str">
        <f>raw!F174</f>
        <v>Add Task Name and  Sales Order no. on task editing page</v>
      </c>
      <c r="G122" s="55">
        <f>raw!G174</f>
        <v>46121</v>
      </c>
      <c r="H122" s="54" t="str">
        <f>raw!H174</f>
        <v>CCB</v>
      </c>
      <c r="I122" s="54" t="str">
        <f>raw!I174</f>
        <v>N/A</v>
      </c>
      <c r="J122" s="54" t="str">
        <f>raw!J174</f>
        <v>Enhancement</v>
      </c>
      <c r="K122" s="54">
        <f>raw!K174</f>
        <v>0</v>
      </c>
      <c r="L122" s="54">
        <f>raw!L174</f>
        <v>0</v>
      </c>
      <c r="M122" s="54">
        <f>raw!M174</f>
        <v>0</v>
      </c>
      <c r="N122" s="54">
        <f>raw!N174</f>
        <v>0</v>
      </c>
      <c r="O122" s="54" t="str">
        <f>raw!O174</f>
        <v>Medium, operational risk</v>
      </c>
      <c r="P122" s="54">
        <f>raw!P174</f>
        <v>0</v>
      </c>
      <c r="Q122" s="54">
        <f>raw!Q174</f>
        <v>0</v>
      </c>
      <c r="R122" s="54" t="str" cm="1">
        <f t="array" ref="R122">_xlfn.LET(_xlpm.txt,LOWER(B122&amp;" "&amp;C122&amp;" "&amp;F122&amp;" "&amp;M122&amp;" "&amp;O122),_xlfn.IFS(OR(IFERROR(SEARCH("diw",_xlpm.txt),0)&gt;0,IFERROR(SEARCH("cost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2" s="54" t="str" cm="1">
        <f t="array" ref="S122">_xlfn.LET(_xlpm.txt,LOWER(B122&amp;" "&amp;C122&amp;" "&amp;F122&amp;" "&amp;M122&amp;" "&amp;O122),_xlfn.IFS(IFERROR(SEARCH("diw",_xlpm.txt),0)&gt;0,"diw",IFERROR(SEARCH("cost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2" s="54" t="s">
        <v>48</v>
      </c>
    </row>
    <row r="123" spans="1:20" ht="28.5" hidden="1" x14ac:dyDescent="0.45">
      <c r="A123" s="54">
        <f>raw!A176</f>
        <v>104</v>
      </c>
      <c r="B123" s="54" t="str">
        <f>raw!B176</f>
        <v>Tasks</v>
      </c>
      <c r="C123" s="54" t="str">
        <f>raw!C176</f>
        <v>System</v>
      </c>
      <c r="D123" s="54" t="str">
        <f>raw!D176</f>
        <v>Must</v>
      </c>
      <c r="E123" s="54" t="str">
        <f>raw!E176</f>
        <v>Enhancement</v>
      </c>
      <c r="F123" s="54" t="str">
        <f>raw!F176</f>
        <v>Add Task Status filter in Task view page to fiter WIP/Disabled/Completed task status</v>
      </c>
      <c r="G123" s="55">
        <f>raw!G176</f>
        <v>46121</v>
      </c>
      <c r="H123" s="54" t="str">
        <f>raw!H176</f>
        <v>Logistics</v>
      </c>
      <c r="I123" s="54" t="str">
        <f>raw!I176</f>
        <v>N/A</v>
      </c>
      <c r="J123" s="54" t="str">
        <f>raw!J176</f>
        <v>Enhancement</v>
      </c>
      <c r="K123" s="54">
        <f>raw!K176</f>
        <v>0</v>
      </c>
      <c r="L123" s="54">
        <f>raw!L176</f>
        <v>0</v>
      </c>
      <c r="M123" s="54" t="str">
        <f>raw!M176</f>
        <v>Duplicate 99</v>
      </c>
      <c r="N123" s="54">
        <f>raw!N176</f>
        <v>0</v>
      </c>
      <c r="O123" s="54" t="str">
        <f>raw!O176</f>
        <v>Medium, operational risk</v>
      </c>
      <c r="P123" s="54">
        <f>raw!P176</f>
        <v>0</v>
      </c>
      <c r="Q123" s="54">
        <f>raw!Q176</f>
        <v>0</v>
      </c>
      <c r="R123" s="54" t="str" cm="1">
        <f t="array" ref="R123">_xlfn.LET(_xlpm.txt,LOWER(B123&amp;" "&amp;C123&amp;" "&amp;F123&amp;" "&amp;M123&amp;" "&amp;O123),_xlfn.IFS(OR(IFERROR(SEARCH("diw",_xlpm.txt),0)&gt;0,IFERROR(SEARCH("cost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3" s="54" t="str" cm="1">
        <f t="array" ref="S123">_xlfn.LET(_xlpm.txt,LOWER(B123&amp;" "&amp;C123&amp;" "&amp;F123&amp;" "&amp;M123&amp;" "&amp;O123),_xlfn.IFS(IFERROR(SEARCH("diw",_xlpm.txt),0)&gt;0,"diw",IFERROR(SEARCH("cost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3" s="54" t="s">
        <v>48</v>
      </c>
    </row>
    <row r="124" spans="1:20" ht="42.75" hidden="1" x14ac:dyDescent="0.45">
      <c r="A124" s="54">
        <f>raw!A177</f>
        <v>105</v>
      </c>
      <c r="B124" s="54" t="str">
        <f>raw!B177</f>
        <v>Tasks</v>
      </c>
      <c r="C124" s="54" t="str">
        <f>raw!C177</f>
        <v>System</v>
      </c>
      <c r="D124" s="54" t="str">
        <f>raw!D177</f>
        <v>Must</v>
      </c>
      <c r="E124" s="54" t="str">
        <f>raw!E177</f>
        <v>Enhancement</v>
      </c>
      <c r="F124" s="54" t="str">
        <f>raw!F177</f>
        <v>Monthly filter is not user friendly to view all task belong to me. Could the duration become unlimited to show all date?</v>
      </c>
      <c r="G124" s="55">
        <f>raw!G177</f>
        <v>46121</v>
      </c>
      <c r="H124" s="54" t="str">
        <f>raw!H177</f>
        <v>Logistics</v>
      </c>
      <c r="I124" s="54" t="str">
        <f>raw!I177</f>
        <v>N/A</v>
      </c>
      <c r="J124" s="54" t="str">
        <f>raw!J177</f>
        <v>Enhancement</v>
      </c>
      <c r="K124" s="54">
        <f>raw!K177</f>
        <v>0</v>
      </c>
      <c r="L124" s="54">
        <f>raw!L177</f>
        <v>0</v>
      </c>
      <c r="M124" s="54" t="str">
        <f>raw!M177</f>
        <v>Provide exact requirement, Do you want a see Quarter or Yearly view? With all duration, the tasks will be not be visible @Ray</v>
      </c>
      <c r="N124" s="54">
        <f>raw!N177</f>
        <v>0</v>
      </c>
      <c r="O124" s="54" t="str">
        <f>raw!O177</f>
        <v>Medium, performance issue</v>
      </c>
      <c r="P124" s="54">
        <f>raw!P177</f>
        <v>0</v>
      </c>
      <c r="Q124" s="54">
        <f>raw!Q177</f>
        <v>0</v>
      </c>
      <c r="R124" s="54" t="str" cm="1">
        <f t="array" ref="R124">_xlfn.LET(_xlpm.txt,LOWER(B124&amp;" "&amp;C124&amp;" "&amp;F124&amp;" "&amp;M124&amp;" "&amp;O124),_xlfn.IFS(OR(IFERROR(SEARCH("diw",_xlpm.txt),0)&gt;0,IFERROR(SEARCH("cost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4" s="54" t="str" cm="1">
        <f t="array" ref="S124">_xlfn.LET(_xlpm.txt,LOWER(B124&amp;" "&amp;C124&amp;" "&amp;F124&amp;" "&amp;M124&amp;" "&amp;O124),_xlfn.IFS(IFERROR(SEARCH("diw",_xlpm.txt),0)&gt;0,"diw",IFERROR(SEARCH("cost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4" s="54" t="s">
        <v>48</v>
      </c>
    </row>
    <row r="125" spans="1:20" ht="42.75" hidden="1" x14ac:dyDescent="0.45">
      <c r="A125" s="54">
        <f>raw!A178</f>
        <v>106</v>
      </c>
      <c r="B125" s="54" t="str">
        <f>raw!B178</f>
        <v>Admin - Task Management</v>
      </c>
      <c r="C125" s="54" t="str">
        <f>raw!C178</f>
        <v>System</v>
      </c>
      <c r="D125" s="54" t="str">
        <f>raw!D178</f>
        <v>Must</v>
      </c>
      <c r="E125" s="54" t="str">
        <f>raw!E178</f>
        <v>Bug</v>
      </c>
      <c r="F125" s="54" t="str">
        <f>_xlfn.TEXTJOIN(CHAR(10),TRUE,raw!F178:F179)</f>
        <v>For the XWB97 HSV Template,
a mismatch has again been identified between the amendment pages and the displayed data for Tasks 15, 32, and 33.</v>
      </c>
      <c r="G125" s="55">
        <f>raw!G178</f>
        <v>46121</v>
      </c>
      <c r="H125" s="54">
        <f>raw!H178</f>
        <v>0</v>
      </c>
      <c r="I125" s="54" t="str">
        <f>raw!I178</f>
        <v>Refer to Screen Capture</v>
      </c>
      <c r="J125" s="54" t="str">
        <f>raw!J178</f>
        <v>Bug</v>
      </c>
      <c r="K125" s="54">
        <f>raw!K178</f>
        <v>0</v>
      </c>
      <c r="L125" s="54">
        <f>raw!L178</f>
        <v>0</v>
      </c>
      <c r="M125" s="54" t="str">
        <f>_xlfn.TEXTJOIN(CHAR(10),TRUE,raw!M178:M179)</f>
        <v/>
      </c>
      <c r="N125" s="54">
        <f>raw!N178</f>
        <v>0</v>
      </c>
      <c r="O125" s="54" t="str">
        <f>_xlfn.TEXTJOIN(CHAR(10),TRUE,raw!O178:O179)</f>
        <v>High, operational risk</v>
      </c>
      <c r="P125" s="54">
        <f>raw!P178</f>
        <v>0</v>
      </c>
      <c r="Q125" s="54">
        <f>raw!Q178</f>
        <v>0</v>
      </c>
      <c r="R125" s="54" t="str" cm="1">
        <f t="array" ref="R125">_xlfn.LET(_xlpm.txt,LOWER(B125&amp;" "&amp;C125&amp;" "&amp;F125&amp;" "&amp;M125&amp;" "&amp;O125),_xlfn.IFS(OR(IFERROR(SEARCH("diw",_xlpm.txt),0)&gt;0,IFERROR(SEARCH("cost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5" s="54" t="str" cm="1">
        <f t="array" ref="S125">_xlfn.LET(_xlpm.txt,LOWER(B125&amp;" "&amp;C125&amp;" "&amp;F125&amp;" "&amp;M125&amp;" "&amp;O125),_xlfn.IFS(IFERROR(SEARCH("diw",_xlpm.txt),0)&gt;0,"diw",IFERROR(SEARCH("cost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5" s="54" t="s">
        <v>102</v>
      </c>
    </row>
    <row r="126" spans="1:20" hidden="1" x14ac:dyDescent="0.45">
      <c r="A126" s="54">
        <f>raw!A180</f>
        <v>107</v>
      </c>
      <c r="B126" s="54" t="str">
        <f>raw!B180</f>
        <v>Tasks</v>
      </c>
      <c r="C126" s="54" t="str">
        <f>raw!C180</f>
        <v>System</v>
      </c>
      <c r="D126" s="54" t="str">
        <f>raw!D180</f>
        <v>Must</v>
      </c>
      <c r="E126" s="54" t="str">
        <f>raw!E180</f>
        <v>Enhancement</v>
      </c>
      <c r="F126" s="54" t="str">
        <f>raw!F180</f>
        <v>Task Owner should not able to input futher date within a date range</v>
      </c>
      <c r="G126" s="55">
        <f>raw!G180</f>
        <v>46121</v>
      </c>
      <c r="H126" s="54" t="str">
        <f>raw!H180</f>
        <v>CCB</v>
      </c>
      <c r="I126" s="54">
        <f>raw!I180</f>
        <v>0</v>
      </c>
      <c r="J126" s="54" t="str">
        <f>raw!J180</f>
        <v>Enhancement</v>
      </c>
      <c r="K126" s="54">
        <f>raw!K180</f>
        <v>0</v>
      </c>
      <c r="L126" s="54">
        <f>raw!L180</f>
        <v>0</v>
      </c>
      <c r="M126" s="54" t="str">
        <f>raw!M180</f>
        <v>Please provide exact requirement @Ray</v>
      </c>
      <c r="N126" s="54">
        <f>raw!N180</f>
        <v>0</v>
      </c>
      <c r="O126" s="54" t="str">
        <f>raw!O180</f>
        <v>Medium, operational risk</v>
      </c>
      <c r="P126" s="54">
        <f>raw!P180</f>
        <v>0</v>
      </c>
      <c r="Q126" s="54">
        <f>raw!Q180</f>
        <v>0</v>
      </c>
      <c r="R126" s="54" t="str" cm="1">
        <f t="array" ref="R126">_xlfn.LET(_xlpm.txt,LOWER(B126&amp;" "&amp;C126&amp;" "&amp;F126&amp;" "&amp;M126&amp;" "&amp;O126),_xlfn.IFS(OR(IFERROR(SEARCH("diw",_xlpm.txt),0)&gt;0,IFERROR(SEARCH("cost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6" s="54" t="str" cm="1">
        <f t="array" ref="S126">_xlfn.LET(_xlpm.txt,LOWER(B126&amp;" "&amp;C126&amp;" "&amp;F126&amp;" "&amp;M126&amp;" "&amp;O126),_xlfn.IFS(IFERROR(SEARCH("diw",_xlpm.txt),0)&gt;0,"diw",IFERROR(SEARCH("cost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26" s="54" t="s">
        <v>48</v>
      </c>
    </row>
    <row r="127" spans="1:20" ht="28.5" hidden="1" x14ac:dyDescent="0.45">
      <c r="A127" s="54">
        <f>raw!A185</f>
        <v>112</v>
      </c>
      <c r="B127" s="54" t="str">
        <f>raw!B185</f>
        <v>Tasks</v>
      </c>
      <c r="C127" s="54" t="str">
        <f>raw!C185</f>
        <v>System</v>
      </c>
      <c r="D127" s="54" t="str">
        <f>raw!D185</f>
        <v>Must</v>
      </c>
      <c r="E127" s="54" t="str">
        <f>raw!E185</f>
        <v>None</v>
      </c>
      <c r="F127" s="54" t="str">
        <f>raw!F185</f>
        <v>Actual Completion Date Should not allow user to select future date. User only able to select today or back date.</v>
      </c>
      <c r="G127" s="55">
        <f>raw!G185</f>
        <v>46125</v>
      </c>
      <c r="H127" s="54" t="str">
        <f>raw!H185</f>
        <v>Ray</v>
      </c>
      <c r="I127" s="54" t="str">
        <f>raw!I185</f>
        <v>N/A</v>
      </c>
      <c r="J127" s="54" t="str">
        <f>raw!J185</f>
        <v>Enhancement</v>
      </c>
      <c r="K127" s="54">
        <f>raw!K185</f>
        <v>0</v>
      </c>
      <c r="L127" s="54">
        <f>raw!L185</f>
        <v>0</v>
      </c>
      <c r="M127" s="54">
        <f>raw!M185</f>
        <v>0</v>
      </c>
      <c r="N127" s="54">
        <f>raw!N185</f>
        <v>0</v>
      </c>
      <c r="O127" s="54" t="str">
        <f>raw!O185</f>
        <v>Medium, operational risk</v>
      </c>
      <c r="P127" s="54">
        <f>raw!P185</f>
        <v>0</v>
      </c>
      <c r="Q127" s="54">
        <f>raw!Q185</f>
        <v>0</v>
      </c>
      <c r="R127" s="54" t="str" cm="1">
        <f t="array" ref="R127">_xlfn.LET(_xlpm.txt,LOWER(B127&amp;" "&amp;C127&amp;" "&amp;F127&amp;" "&amp;M127&amp;" "&amp;O127),_xlfn.IFS(OR(IFERROR(SEARCH("diw",_xlpm.txt),0)&gt;0,IFERROR(SEARCH("cost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7" s="54" t="str" cm="1">
        <f t="array" ref="S127">_xlfn.LET(_xlpm.txt,LOWER(B127&amp;" "&amp;C127&amp;" "&amp;F127&amp;" "&amp;M127&amp;" "&amp;O127),_xlfn.IFS(IFERROR(SEARCH("diw",_xlpm.txt),0)&gt;0,"diw",IFERROR(SEARCH("cost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127" s="54" t="s">
        <v>48</v>
      </c>
    </row>
    <row r="128" spans="1:20" hidden="1" x14ac:dyDescent="0.45">
      <c r="A128" s="54">
        <f>raw!A188</f>
        <v>115</v>
      </c>
      <c r="B128" s="54" t="str">
        <f>raw!B188</f>
        <v>Task</v>
      </c>
      <c r="C128" s="54" t="str">
        <f>raw!C188</f>
        <v>System</v>
      </c>
      <c r="D128" s="54" t="str">
        <f>raw!D188</f>
        <v>Must</v>
      </c>
      <c r="E128" s="54" t="str">
        <f>raw!E188</f>
        <v>None</v>
      </c>
      <c r="F128" s="54" t="str">
        <f>raw!F188</f>
        <v>Only Planner could disable task (TBC)</v>
      </c>
      <c r="G128" s="55">
        <f>raw!G188</f>
        <v>46126</v>
      </c>
      <c r="H128" s="54" t="str">
        <f>raw!H188</f>
        <v>Ray</v>
      </c>
      <c r="I128" s="54" t="str">
        <f>raw!I188</f>
        <v>N/A</v>
      </c>
      <c r="J128" s="54">
        <f>raw!J188</f>
        <v>0</v>
      </c>
      <c r="K128" s="54">
        <f>raw!K188</f>
        <v>0</v>
      </c>
      <c r="L128" s="54">
        <f>raw!L188</f>
        <v>0</v>
      </c>
      <c r="M128" s="54">
        <f>raw!M188</f>
        <v>0</v>
      </c>
      <c r="N128" s="54">
        <f>raw!N188</f>
        <v>0</v>
      </c>
      <c r="O128" s="54" t="str">
        <f>raw!O188</f>
        <v>Medium, operational risk</v>
      </c>
      <c r="P128" s="54">
        <f>raw!P188</f>
        <v>0</v>
      </c>
      <c r="Q128" s="54">
        <f>raw!Q188</f>
        <v>0</v>
      </c>
      <c r="R128" s="54" t="str" cm="1">
        <f t="array" ref="R128">_xlfn.LET(_xlpm.txt,LOWER(B128&amp;" "&amp;C128&amp;" "&amp;F128&amp;" "&amp;M128&amp;" "&amp;O128),_xlfn.IFS(OR(IFERROR(SEARCH("diw",_xlpm.txt),0)&gt;0,IFERROR(SEARCH("cost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8" s="54" t="str" cm="1">
        <f t="array" ref="S128">_xlfn.LET(_xlpm.txt,LOWER(B128&amp;" "&amp;C128&amp;" "&amp;F128&amp;" "&amp;M128&amp;" "&amp;O128),_xlfn.IFS(IFERROR(SEARCH("diw",_xlpm.txt),0)&gt;0,"diw",IFERROR(SEARCH("cost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8" s="54" t="s">
        <v>48</v>
      </c>
    </row>
    <row r="129" spans="1:20" ht="28.5" hidden="1" x14ac:dyDescent="0.45">
      <c r="A129" s="54">
        <f>raw!A193</f>
        <v>117</v>
      </c>
      <c r="B129" s="54" t="str">
        <f>raw!B193</f>
        <v>Template - task selection</v>
      </c>
      <c r="C129" s="54" t="str">
        <f>raw!C193</f>
        <v>System</v>
      </c>
      <c r="D129" s="54" t="str">
        <f>raw!D193</f>
        <v>Must</v>
      </c>
      <c r="E129" s="54" t="str">
        <f>raw!E193</f>
        <v>Rework</v>
      </c>
      <c r="F129" s="54" t="str">
        <f>raw!F193</f>
        <v>In task selection page, the header row should be frozen</v>
      </c>
      <c r="G129" s="55">
        <f>raw!G193</f>
        <v>46126</v>
      </c>
      <c r="H129" s="54" t="str">
        <f>raw!H193</f>
        <v>Ray</v>
      </c>
      <c r="I129" s="54" t="str">
        <f>raw!I193</f>
        <v>Refer to Screen Capture</v>
      </c>
      <c r="J129" s="54">
        <f>raw!J193</f>
        <v>0</v>
      </c>
      <c r="K129" s="54">
        <f>raw!K193</f>
        <v>0</v>
      </c>
      <c r="L129" s="54">
        <f>raw!L193</f>
        <v>0</v>
      </c>
      <c r="M129" s="54">
        <f>raw!M193</f>
        <v>0</v>
      </c>
      <c r="N129" s="54">
        <f>raw!N193</f>
        <v>0</v>
      </c>
      <c r="O129" s="54" t="str">
        <f>raw!O193</f>
        <v>Low, bug</v>
      </c>
      <c r="P129" s="54">
        <f>raw!P193</f>
        <v>0</v>
      </c>
      <c r="Q129" s="54">
        <f>raw!Q193</f>
        <v>0</v>
      </c>
      <c r="R129" s="54" t="str" cm="1">
        <f t="array" ref="R129">_xlfn.LET(_xlpm.txt,LOWER(B129&amp;" "&amp;C129&amp;" "&amp;F129&amp;" "&amp;M129&amp;" "&amp;O129),_xlfn.IFS(OR(IFERROR(SEARCH("diw",_xlpm.txt),0)&gt;0,IFERROR(SEARCH("cost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29" s="54" t="str" cm="1">
        <f t="array" ref="S129">_xlfn.LET(_xlpm.txt,LOWER(B129&amp;" "&amp;C129&amp;" "&amp;F129&amp;" "&amp;M129&amp;" "&amp;O129),_xlfn.IFS(IFERROR(SEARCH("diw",_xlpm.txt),0)&gt;0,"diw",IFERROR(SEARCH("cost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29" s="54" t="s">
        <v>63</v>
      </c>
    </row>
    <row r="130" spans="1:20" ht="42.75" hidden="1" x14ac:dyDescent="0.45">
      <c r="A130" s="54">
        <f>raw!A194</f>
        <v>118</v>
      </c>
      <c r="B130" s="54" t="str">
        <f>raw!B194</f>
        <v>Template - task selection</v>
      </c>
      <c r="C130" s="54" t="str">
        <f>raw!C194</f>
        <v>System</v>
      </c>
      <c r="D130" s="54" t="str">
        <f>raw!D194</f>
        <v>Must</v>
      </c>
      <c r="E130" s="54" t="str">
        <f>raw!E194</f>
        <v>Bug</v>
      </c>
      <c r="F130" s="54" t="str">
        <f>raw!F194</f>
        <v>When I edit a task details (e.g. task owner), after I confirm the screen will focus to other area.</v>
      </c>
      <c r="G130" s="55">
        <f>raw!G194</f>
        <v>46126</v>
      </c>
      <c r="H130" s="54" t="str">
        <f>raw!H194</f>
        <v>Ray</v>
      </c>
      <c r="I130" s="54" t="str">
        <f>raw!I194</f>
        <v>N/A</v>
      </c>
      <c r="J130" s="54">
        <f>raw!J194</f>
        <v>0</v>
      </c>
      <c r="K130" s="54">
        <f>raw!K194</f>
        <v>0</v>
      </c>
      <c r="L130" s="54">
        <f>raw!L194</f>
        <v>0</v>
      </c>
      <c r="M130" s="54">
        <f>raw!M194</f>
        <v>0</v>
      </c>
      <c r="N130" s="54">
        <f>raw!N194</f>
        <v>0</v>
      </c>
      <c r="O130" s="54" t="str">
        <f>raw!O194</f>
        <v>Medium, the position of the form should be sticky after action triggered</v>
      </c>
      <c r="P130" s="54">
        <f>raw!P194</f>
        <v>0</v>
      </c>
      <c r="Q130" s="54">
        <f>raw!Q194</f>
        <v>0</v>
      </c>
      <c r="R130" s="54" t="str" cm="1">
        <f t="array" ref="R130">_xlfn.LET(_xlpm.txt,LOWER(B130&amp;" "&amp;C130&amp;" "&amp;F130&amp;" "&amp;M130&amp;" "&amp;O130),_xlfn.IFS(OR(IFERROR(SEARCH("diw",_xlpm.txt),0)&gt;0,IFERROR(SEARCH("cost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0" s="54" t="str" cm="1">
        <f t="array" ref="S130">_xlfn.LET(_xlpm.txt,LOWER(B130&amp;" "&amp;C130&amp;" "&amp;F130&amp;" "&amp;M130&amp;" "&amp;O130),_xlfn.IFS(IFERROR(SEARCH("diw",_xlpm.txt),0)&gt;0,"diw",IFERROR(SEARCH("cost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30" s="54" t="s">
        <v>48</v>
      </c>
    </row>
    <row r="131" spans="1:20" hidden="1" x14ac:dyDescent="0.45">
      <c r="A131" s="54">
        <f>raw!A195</f>
        <v>119</v>
      </c>
      <c r="B131" s="54" t="str">
        <f>raw!B195</f>
        <v>Task</v>
      </c>
      <c r="C131" s="54" t="str">
        <f>raw!C195</f>
        <v>System</v>
      </c>
      <c r="D131" s="54" t="str">
        <f>raw!D195</f>
        <v>Must</v>
      </c>
      <c r="E131" s="54" t="str">
        <f>raw!E195</f>
        <v>Bug</v>
      </c>
      <c r="F131" s="54" t="str">
        <f>raw!F195</f>
        <v>After actual completion date updated, no log display for the change</v>
      </c>
      <c r="G131" s="55">
        <f>raw!G195</f>
        <v>46126</v>
      </c>
      <c r="H131" s="54" t="str">
        <f>raw!H195</f>
        <v>CR</v>
      </c>
      <c r="I131" s="54" t="str">
        <f>raw!I195</f>
        <v>N/A</v>
      </c>
      <c r="J131" s="54">
        <f>raw!J195</f>
        <v>0</v>
      </c>
      <c r="K131" s="54">
        <f>raw!K195</f>
        <v>0</v>
      </c>
      <c r="L131" s="54">
        <f>raw!L195</f>
        <v>0</v>
      </c>
      <c r="M131" s="54">
        <f>raw!M195</f>
        <v>0</v>
      </c>
      <c r="N131" s="54">
        <f>raw!N195</f>
        <v>0</v>
      </c>
      <c r="O131" s="54" t="str">
        <f>raw!O195</f>
        <v>Medium, bug</v>
      </c>
      <c r="P131" s="54">
        <f>raw!P195</f>
        <v>0</v>
      </c>
      <c r="Q131" s="54">
        <f>raw!Q195</f>
        <v>0</v>
      </c>
      <c r="R131" s="54" t="str" cm="1">
        <f t="array" ref="R131">_xlfn.LET(_xlpm.txt,LOWER(B131&amp;" "&amp;C131&amp;" "&amp;F131&amp;" "&amp;M131&amp;" "&amp;O131),_xlfn.IFS(OR(IFERROR(SEARCH("diw",_xlpm.txt),0)&gt;0,IFERROR(SEARCH("cost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1" s="54" t="str" cm="1">
        <f t="array" ref="S131">_xlfn.LET(_xlpm.txt,LOWER(B131&amp;" "&amp;C131&amp;" "&amp;F131&amp;" "&amp;M131&amp;" "&amp;O131),_xlfn.IFS(IFERROR(SEARCH("diw",_xlpm.txt),0)&gt;0,"diw",IFERROR(SEARCH("cost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131" s="54" t="s">
        <v>48</v>
      </c>
    </row>
    <row r="132" spans="1:20" ht="28.5" hidden="1" x14ac:dyDescent="0.45">
      <c r="A132" s="54">
        <f>raw!A198</f>
        <v>122</v>
      </c>
      <c r="B132" s="54" t="str">
        <f>raw!B198</f>
        <v>streamer -&gt; task</v>
      </c>
      <c r="C132" s="54" t="str">
        <f>raw!C198</f>
        <v>System</v>
      </c>
      <c r="D132" s="54" t="str">
        <f>raw!D198</f>
        <v>Must</v>
      </c>
      <c r="E132" s="54" t="str">
        <f>raw!E198</f>
        <v>Rework</v>
      </c>
      <c r="F132" s="54" t="str">
        <f>raw!F198</f>
        <v>task action log unclear.the comments commented by last user should stay in comments box.</v>
      </c>
      <c r="G132" s="55">
        <f>raw!G198</f>
        <v>46126</v>
      </c>
      <c r="H132" s="54" t="str">
        <f>raw!H198</f>
        <v>Ray</v>
      </c>
      <c r="I132" s="54" t="str">
        <f>raw!I198</f>
        <v>N/A</v>
      </c>
      <c r="J132" s="54">
        <f>raw!J198</f>
        <v>0</v>
      </c>
      <c r="K132" s="54">
        <f>raw!K198</f>
        <v>0</v>
      </c>
      <c r="L132" s="54">
        <f>raw!L198</f>
        <v>0</v>
      </c>
      <c r="M132" s="54">
        <f>raw!M198</f>
        <v>0</v>
      </c>
      <c r="N132" s="54">
        <f>raw!N198</f>
        <v>0</v>
      </c>
      <c r="O132" s="54" t="str">
        <f>raw!O198</f>
        <v>Medium</v>
      </c>
      <c r="P132" s="54">
        <f>raw!P198</f>
        <v>0</v>
      </c>
      <c r="Q132" s="54">
        <f>raw!Q198</f>
        <v>0</v>
      </c>
      <c r="R132" s="54" t="str" cm="1">
        <f t="array" ref="R132">_xlfn.LET(_xlpm.txt,LOWER(B132&amp;" "&amp;C132&amp;" "&amp;F132&amp;" "&amp;M132&amp;" "&amp;O132),_xlfn.IFS(OR(IFERROR(SEARCH("diw",_xlpm.txt),0)&gt;0,IFERROR(SEARCH("cost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2" s="54" t="str" cm="1">
        <f t="array" ref="S132">_xlfn.LET(_xlpm.txt,LOWER(B132&amp;" "&amp;C132&amp;" "&amp;F132&amp;" "&amp;M132&amp;" "&amp;O132),_xlfn.IFS(IFERROR(SEARCH("diw",_xlpm.txt),0)&gt;0,"diw",IFERROR(SEARCH("cost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32" s="54" t="s">
        <v>48</v>
      </c>
    </row>
    <row r="133" spans="1:20" ht="57" hidden="1" x14ac:dyDescent="0.45">
      <c r="A133" s="54">
        <f>raw!A201</f>
        <v>124</v>
      </c>
      <c r="B133" s="54" t="str">
        <f>raw!B201</f>
        <v>Streamer &gt; Edit Streamer &gt; Export</v>
      </c>
      <c r="C133" s="54" t="str">
        <f>raw!C201</f>
        <v>System</v>
      </c>
      <c r="D133" s="54" t="str">
        <f>raw!D201</f>
        <v>Should</v>
      </c>
      <c r="E133" s="54" t="str">
        <f>raw!E201</f>
        <v>Enhancement</v>
      </c>
      <c r="F133" s="54" t="str">
        <f>_xlfn.TEXTJOIN(CHAR(10),TRUE,raw!F201:F202)</f>
        <v>No matter for PDF or CSV file, to enhance information exported for below columns included:
| Task No | Task Name | Task Owner | Duration | Start Date | Finish Date | Projected Completion Date | Actual Completion Date |</v>
      </c>
      <c r="G133" s="55">
        <f>raw!G201</f>
        <v>46127</v>
      </c>
      <c r="H133" s="54" t="str">
        <f>raw!H201</f>
        <v>Chris</v>
      </c>
      <c r="I133" s="54">
        <f>raw!I201</f>
        <v>0</v>
      </c>
      <c r="J133" s="54">
        <f>raw!J201</f>
        <v>0</v>
      </c>
      <c r="K133" s="54">
        <f>raw!K201</f>
        <v>0</v>
      </c>
      <c r="L133" s="54">
        <f>raw!L201</f>
        <v>0</v>
      </c>
      <c r="M133" s="54" t="str">
        <f>_xlfn.TEXTJOIN(CHAR(10),TRUE,raw!M201:M202)</f>
        <v/>
      </c>
      <c r="N133" s="54">
        <f>raw!N201</f>
        <v>0</v>
      </c>
      <c r="O133" s="54" t="str">
        <f>_xlfn.TEXTJOIN(CHAR(10),TRUE,raw!O201:O202)</f>
        <v>Low, but performance issue</v>
      </c>
      <c r="P133" s="54">
        <f>raw!P201</f>
        <v>0</v>
      </c>
      <c r="Q133" s="54">
        <f>raw!Q201</f>
        <v>0</v>
      </c>
      <c r="R133" s="54" t="str" cm="1">
        <f t="array" ref="R133">_xlfn.LET(_xlpm.txt,LOWER(B133&amp;" "&amp;C133&amp;" "&amp;F133&amp;" "&amp;M133&amp;" "&amp;O133),_xlfn.IFS(OR(IFERROR(SEARCH("diw",_xlpm.txt),0)&gt;0,IFERROR(SEARCH("cost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3" s="54" t="str" cm="1">
        <f t="array" ref="S133">_xlfn.LET(_xlpm.txt,LOWER(B133&amp;" "&amp;C133&amp;" "&amp;F133&amp;" "&amp;M133&amp;" "&amp;O133),_xlfn.IFS(IFERROR(SEARCH("diw",_xlpm.txt),0)&gt;0,"diw",IFERROR(SEARCH("cost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33" s="54" t="s">
        <v>63</v>
      </c>
    </row>
    <row r="134" spans="1:20" ht="71.25" hidden="1" x14ac:dyDescent="0.45">
      <c r="A134" s="54">
        <f>raw!A203</f>
        <v>125</v>
      </c>
      <c r="B134" s="54" t="str">
        <f>raw!B203</f>
        <v>Tasks Page &gt; Export</v>
      </c>
      <c r="C134" s="54" t="str">
        <f>raw!C203</f>
        <v>System</v>
      </c>
      <c r="D134" s="54" t="str">
        <f>raw!D203</f>
        <v>Should</v>
      </c>
      <c r="E134" s="54" t="str">
        <f>raw!E203</f>
        <v>Enhancement</v>
      </c>
      <c r="F134" s="54" t="str">
        <f>_xlfn.TEXTJOIN(CHAR(10),TRUE,raw!F203:F204)</f>
        <v>To align with Export function with Streamer page, to add Export to PDF &amp; CSV and generate the columns included:
 | Task Owner | Task ID | Duration | Start Date | Finish Date | Projected Completion Date | Actual Completion Date | Induction Date | Test Date | Reason of Delay | Comments | Task status (WIP/Completed/Disabled) |</v>
      </c>
      <c r="G134" s="55">
        <f>raw!G203</f>
        <v>46127</v>
      </c>
      <c r="H134" s="54" t="str">
        <f>raw!H203</f>
        <v>Chris</v>
      </c>
      <c r="I134" s="54">
        <f>raw!I203</f>
        <v>0</v>
      </c>
      <c r="J134" s="54">
        <f>raw!J203</f>
        <v>0</v>
      </c>
      <c r="K134" s="54">
        <f>raw!K203</f>
        <v>0</v>
      </c>
      <c r="L134" s="54">
        <f>raw!L203</f>
        <v>0</v>
      </c>
      <c r="M134" s="54" t="str">
        <f>_xlfn.TEXTJOIN(CHAR(10),TRUE,raw!M203:M204)</f>
        <v/>
      </c>
      <c r="N134" s="54">
        <f>raw!N203</f>
        <v>0</v>
      </c>
      <c r="O134" s="54" t="str">
        <f>_xlfn.TEXTJOIN(CHAR(10),TRUE,raw!O203:O204)</f>
        <v>Low, but performance issue</v>
      </c>
      <c r="P134" s="54">
        <f>raw!P203</f>
        <v>0</v>
      </c>
      <c r="Q134" s="54">
        <f>raw!Q203</f>
        <v>0</v>
      </c>
      <c r="R134" s="54" t="str" cm="1">
        <f t="array" ref="R134">_xlfn.LET(_xlpm.txt,LOWER(B134&amp;" "&amp;C134&amp;" "&amp;F134&amp;" "&amp;M134&amp;" "&amp;O134),_xlfn.IFS(OR(IFERROR(SEARCH("diw",_xlpm.txt),0)&gt;0,IFERROR(SEARCH("cost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4" s="54" t="str" cm="1">
        <f t="array" ref="S134">_xlfn.LET(_xlpm.txt,LOWER(B134&amp;" "&amp;C134&amp;" "&amp;F134&amp;" "&amp;M134&amp;" "&amp;O134),_xlfn.IFS(IFERROR(SEARCH("diw",_xlpm.txt),0)&gt;0,"diw",IFERROR(SEARCH("cost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34" s="54" t="s">
        <v>63</v>
      </c>
    </row>
    <row r="135" spans="1:20" ht="42.75" hidden="1" x14ac:dyDescent="0.45">
      <c r="A135" s="54">
        <f>raw!A207</f>
        <v>127</v>
      </c>
      <c r="B135" s="54" t="str">
        <f>raw!B207</f>
        <v>Test Slot</v>
      </c>
      <c r="C135" s="54" t="str">
        <f>raw!C207</f>
        <v>System</v>
      </c>
      <c r="D135" s="54" t="str">
        <f>raw!D207</f>
        <v>Must</v>
      </c>
      <c r="E135" s="54" t="str">
        <f>raw!E207</f>
        <v>Bug</v>
      </c>
      <c r="F135" s="54" t="str">
        <f>raw!F207</f>
        <v>21954 Test Plan Excel File showes 05/Jun. After test plan file upload, the Project Completion Date of Task 39 - Test (MST) still unchanged on 11/May</v>
      </c>
      <c r="G135" s="55">
        <f>raw!G207</f>
        <v>46127</v>
      </c>
      <c r="H135" s="54" t="str">
        <f>raw!H207</f>
        <v>Eugene</v>
      </c>
      <c r="I135" s="54">
        <f>raw!I207</f>
        <v>0</v>
      </c>
      <c r="J135" s="54">
        <f>raw!J207</f>
        <v>0</v>
      </c>
      <c r="K135" s="54">
        <f>raw!K207</f>
        <v>0</v>
      </c>
      <c r="L135" s="54">
        <f>raw!L207</f>
        <v>0</v>
      </c>
      <c r="M135" s="54">
        <f>raw!M207</f>
        <v>0</v>
      </c>
      <c r="N135" s="54">
        <f>raw!N207</f>
        <v>0</v>
      </c>
      <c r="O135" s="54" t="str">
        <f>raw!O207</f>
        <v>High, critical bug</v>
      </c>
      <c r="P135" s="54">
        <f>raw!P207</f>
        <v>0</v>
      </c>
      <c r="Q135" s="54">
        <f>raw!Q207</f>
        <v>0</v>
      </c>
      <c r="R135" s="54" t="str" cm="1">
        <f t="array" ref="R135">_xlfn.LET(_xlpm.txt,LOWER(B135&amp;" "&amp;C135&amp;" "&amp;F135&amp;" "&amp;M135&amp;" "&amp;O135),_xlfn.IFS(OR(IFERROR(SEARCH("diw",_xlpm.txt),0)&gt;0,IFERROR(SEARCH("cost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5" s="54" t="str" cm="1">
        <f t="array" ref="S135">_xlfn.LET(_xlpm.txt,LOWER(B135&amp;" "&amp;C135&amp;" "&amp;F135&amp;" "&amp;M135&amp;" "&amp;O135),_xlfn.IFS(IFERROR(SEARCH("diw",_xlpm.txt),0)&gt;0,"diw",IFERROR(SEARCH("cost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v>
      </c>
      <c r="T135" s="54" t="s">
        <v>102</v>
      </c>
    </row>
    <row r="136" spans="1:20" ht="28.5" hidden="1" x14ac:dyDescent="0.45">
      <c r="A136" s="54">
        <f>raw!A209</f>
        <v>129</v>
      </c>
      <c r="B136" s="54" t="str">
        <f>raw!B209</f>
        <v>Test-slot &gt; Upload</v>
      </c>
      <c r="C136" s="54" t="str">
        <f>raw!C209</f>
        <v>System</v>
      </c>
      <c r="D136" s="54" t="str">
        <f>raw!D209</f>
        <v>Must</v>
      </c>
      <c r="E136" s="54" t="str">
        <f>raw!E209</f>
        <v>Enhancement</v>
      </c>
      <c r="F136" s="54" t="str">
        <f>raw!F209</f>
        <v>For Task Owner &amp; Staff, the function called "Upload" should be not provided.</v>
      </c>
      <c r="G136" s="55">
        <f>raw!G209</f>
        <v>46127</v>
      </c>
      <c r="H136" s="54" t="str">
        <f>raw!H209</f>
        <v>Chris</v>
      </c>
      <c r="I136" s="54">
        <f>raw!I209</f>
        <v>0</v>
      </c>
      <c r="J136" s="54">
        <f>raw!J209</f>
        <v>0</v>
      </c>
      <c r="K136" s="54">
        <f>raw!K209</f>
        <v>0</v>
      </c>
      <c r="L136" s="54">
        <f>raw!L209</f>
        <v>0</v>
      </c>
      <c r="M136" s="54">
        <f>raw!M209</f>
        <v>0</v>
      </c>
      <c r="N136" s="54">
        <f>raw!N209</f>
        <v>0</v>
      </c>
      <c r="O136" s="54" t="str">
        <f>raw!O209</f>
        <v>Medium, operational risk</v>
      </c>
      <c r="P136" s="54">
        <f>raw!P209</f>
        <v>0</v>
      </c>
      <c r="Q136" s="54">
        <f>raw!Q209</f>
        <v>0</v>
      </c>
      <c r="R136" s="54" t="str" cm="1">
        <f t="array" ref="R136">_xlfn.LET(_xlpm.txt,LOWER(B136&amp;" "&amp;C136&amp;" "&amp;F136&amp;" "&amp;M136&amp;" "&amp;O136),_xlfn.IFS(OR(IFERROR(SEARCH("diw",_xlpm.txt),0)&gt;0,IFERROR(SEARCH("cost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6" s="54" t="str" cm="1">
        <f t="array" ref="S136">_xlfn.LET(_xlpm.txt,LOWER(B136&amp;" "&amp;C136&amp;" "&amp;F136&amp;" "&amp;M136&amp;" "&amp;O136),_xlfn.IFS(IFERROR(SEARCH("diw",_xlpm.txt),0)&gt;0,"diw",IFERROR(SEARCH("cost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36" s="54" t="s">
        <v>48</v>
      </c>
    </row>
    <row r="137" spans="1:20" ht="28.5" hidden="1" x14ac:dyDescent="0.45">
      <c r="A137" s="54">
        <f>raw!A216</f>
        <v>134</v>
      </c>
      <c r="B137" s="54" t="str">
        <f>raw!B216</f>
        <v>Tasks</v>
      </c>
      <c r="C137" s="54" t="str">
        <f>raw!C216</f>
        <v>System</v>
      </c>
      <c r="D137" s="54" t="str">
        <f>raw!D216</f>
        <v>Must</v>
      </c>
      <c r="E137" s="54" t="str">
        <f>raw!E216</f>
        <v>Rework</v>
      </c>
      <c r="F137" s="54" t="str">
        <f>raw!F216</f>
        <v>Task action log not really record all the changes, e.g. not record the delay reason, not record the PCD date changes</v>
      </c>
      <c r="G137" s="55">
        <f>raw!G216</f>
        <v>46129</v>
      </c>
      <c r="H137" s="54" t="str">
        <f>raw!H216</f>
        <v>Various</v>
      </c>
      <c r="I137" s="54" t="str">
        <f>raw!I216</f>
        <v>Refer to screen capture</v>
      </c>
      <c r="J137" s="54">
        <f>raw!J216</f>
        <v>0</v>
      </c>
      <c r="K137" s="54">
        <f>raw!K216</f>
        <v>0</v>
      </c>
      <c r="L137" s="54">
        <f>raw!L216</f>
        <v>0</v>
      </c>
      <c r="M137" s="54">
        <f>raw!M216</f>
        <v>0</v>
      </c>
      <c r="N137" s="54">
        <f>raw!N216</f>
        <v>0</v>
      </c>
      <c r="O137" s="54" t="str">
        <f>raw!O216</f>
        <v>Low</v>
      </c>
      <c r="P137" s="54">
        <f>raw!P216</f>
        <v>0</v>
      </c>
      <c r="Q137" s="54">
        <f>raw!Q216</f>
        <v>0</v>
      </c>
      <c r="R137" s="54" t="str" cm="1">
        <f t="array" ref="R137">_xlfn.LET(_xlpm.txt,LOWER(B137&amp;" "&amp;C137&amp;" "&amp;F137&amp;" "&amp;M137&amp;" "&amp;O137),_xlfn.IFS(OR(IFERROR(SEARCH("diw",_xlpm.txt),0)&gt;0,IFERROR(SEARCH("cost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7" s="54" t="str" cm="1">
        <f t="array" ref="S137">_xlfn.LET(_xlpm.txt,LOWER(B137&amp;" "&amp;C137&amp;" "&amp;F137&amp;" "&amp;M137&amp;" "&amp;O137),_xlfn.IFS(IFERROR(SEARCH("diw",_xlpm.txt),0)&gt;0,"diw",IFERROR(SEARCH("cost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PCD</v>
      </c>
      <c r="T137" s="54" t="s">
        <v>63</v>
      </c>
    </row>
    <row r="138" spans="1:20" hidden="1" x14ac:dyDescent="0.45">
      <c r="A138" s="54">
        <f>raw!A218</f>
        <v>136</v>
      </c>
      <c r="B138" s="54" t="str">
        <f>raw!B218</f>
        <v>Tasks</v>
      </c>
      <c r="C138" s="54" t="str">
        <f>raw!C218</f>
        <v>System</v>
      </c>
      <c r="D138" s="54" t="str">
        <f>raw!D218</f>
        <v>Should</v>
      </c>
      <c r="E138" s="54" t="str">
        <f>raw!E218</f>
        <v>Rework</v>
      </c>
      <c r="F138" s="54" t="str">
        <f>raw!F218</f>
        <v>Add "Other Reason" in the delay reason dropdown list</v>
      </c>
      <c r="G138" s="55">
        <f>raw!G218</f>
        <v>46129</v>
      </c>
      <c r="H138" s="54" t="str">
        <f>raw!H218</f>
        <v>CCB</v>
      </c>
      <c r="I138" s="54" t="str">
        <f>raw!I218</f>
        <v>N/A</v>
      </c>
      <c r="J138" s="54">
        <f>raw!J218</f>
        <v>0</v>
      </c>
      <c r="K138" s="54">
        <f>raw!K218</f>
        <v>0</v>
      </c>
      <c r="L138" s="54">
        <f>raw!L218</f>
        <v>0</v>
      </c>
      <c r="M138" s="54">
        <f>raw!M218</f>
        <v>0</v>
      </c>
      <c r="N138" s="54">
        <f>raw!N218</f>
        <v>0</v>
      </c>
      <c r="O138" s="54" t="str">
        <f>raw!O218</f>
        <v>Low</v>
      </c>
      <c r="P138" s="54">
        <f>raw!P218</f>
        <v>0</v>
      </c>
      <c r="Q138" s="54">
        <f>raw!Q218</f>
        <v>0</v>
      </c>
      <c r="R138" s="54" t="str" cm="1">
        <f t="array" ref="R138">_xlfn.LET(_xlpm.txt,LOWER(B138&amp;" "&amp;C138&amp;" "&amp;F138&amp;" "&amp;M138&amp;" "&amp;O138),_xlfn.IFS(OR(IFERROR(SEARCH("diw",_xlpm.txt),0)&gt;0,IFERROR(SEARCH("cost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8" s="54" t="str" cm="1">
        <f t="array" ref="S138">_xlfn.LET(_xlpm.txt,LOWER(B138&amp;" "&amp;C138&amp;" "&amp;F138&amp;" "&amp;M138&amp;" "&amp;O138),_xlfn.IFS(IFERROR(SEARCH("diw",_xlpm.txt),0)&gt;0,"diw",IFERROR(SEARCH("cost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delay</v>
      </c>
      <c r="T138" s="54" t="s">
        <v>63</v>
      </c>
    </row>
    <row r="139" spans="1:20" ht="42.75" hidden="1" x14ac:dyDescent="0.45">
      <c r="A139" s="54">
        <f>raw!A220</f>
        <v>138</v>
      </c>
      <c r="B139" s="54" t="str">
        <f>raw!B220</f>
        <v>Tasks</v>
      </c>
      <c r="C139" s="54" t="str">
        <f>raw!C220</f>
        <v>System</v>
      </c>
      <c r="D139" s="54" t="str">
        <f>raw!D220</f>
        <v>Must</v>
      </c>
      <c r="E139" s="54" t="str">
        <f>raw!E220</f>
        <v>Rework</v>
      </c>
      <c r="F139" s="54" t="str">
        <f>_xlfn.TEXTJOIN(CHAR(10),TRUE,raw!F220:F221)</f>
        <v>As a task owner, currently design is not user-friendly, I can not focus on any WIP tasks belong to my department. Suggest to add below filters:
Task PCD in Today/This Week/Overdue</v>
      </c>
      <c r="G139" s="55">
        <f>raw!G220</f>
        <v>46129</v>
      </c>
      <c r="H139" s="54" t="str">
        <f>raw!H220</f>
        <v>Various</v>
      </c>
      <c r="I139" s="54" t="str">
        <f>raw!I220</f>
        <v>N/A</v>
      </c>
      <c r="J139" s="54">
        <f>raw!J220</f>
        <v>0</v>
      </c>
      <c r="K139" s="54">
        <f>raw!K220</f>
        <v>0</v>
      </c>
      <c r="L139" s="54">
        <f>raw!L220</f>
        <v>0</v>
      </c>
      <c r="M139" s="54" t="str">
        <f>_xlfn.TEXTJOIN(CHAR(10),TRUE,raw!M220:M221)</f>
        <v/>
      </c>
      <c r="N139" s="54">
        <f>raw!N220</f>
        <v>0</v>
      </c>
      <c r="O139" s="54" t="str">
        <f>_xlfn.TEXTJOIN(CHAR(10),TRUE,raw!O220:O221)</f>
        <v>Medium</v>
      </c>
      <c r="P139" s="54">
        <f>raw!P220</f>
        <v>0</v>
      </c>
      <c r="Q139" s="54">
        <f>raw!Q220</f>
        <v>0</v>
      </c>
      <c r="R139" s="54" t="str" cm="1">
        <f t="array" ref="R139">_xlfn.LET(_xlpm.txt,LOWER(B139&amp;" "&amp;C139&amp;" "&amp;F139&amp;" "&amp;M139&amp;" "&amp;O139),_xlfn.IFS(OR(IFERROR(SEARCH("diw",_xlpm.txt),0)&gt;0,IFERROR(SEARCH("cost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39" s="54" t="str" cm="1">
        <f t="array" ref="S139">_xlfn.LET(_xlpm.txt,LOWER(B139&amp;" "&amp;C139&amp;" "&amp;F139&amp;" "&amp;M139&amp;" "&amp;O139),_xlfn.IFS(IFERROR(SEARCH("diw",_xlpm.txt),0)&gt;0,"diw",IFERROR(SEARCH("cost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39" s="54" t="s">
        <v>48</v>
      </c>
    </row>
    <row r="140" spans="1:20" ht="71.25" hidden="1" x14ac:dyDescent="0.45">
      <c r="A140" s="54">
        <f>raw!A223</f>
        <v>140</v>
      </c>
      <c r="B140" s="54" t="str">
        <f>raw!B223</f>
        <v>Tasks</v>
      </c>
      <c r="C140" s="54" t="str">
        <f>raw!C223</f>
        <v>System</v>
      </c>
      <c r="D140" s="54" t="str">
        <f>raw!D223</f>
        <v>Must</v>
      </c>
      <c r="E140" s="54" t="str">
        <f>raw!E223</f>
        <v>Rework</v>
      </c>
      <c r="F140" s="54" t="str">
        <f>_xlfn.TEXTJOIN(CHAR(10),TRUE,raw!F223:F224)</f>
        <v>As a task owner, I also need to know the below infomation in the task pop up
ESN, Module S/N(if it is a module level task), Task Name, Sales Order, Task Owner, Streamer Status. Add an area to shows all streamer tasks status.</v>
      </c>
      <c r="G140" s="55">
        <f>raw!G223</f>
        <v>46129</v>
      </c>
      <c r="H140" s="54" t="str">
        <f>raw!H223</f>
        <v>Various</v>
      </c>
      <c r="I140" s="54" t="str">
        <f>raw!I223</f>
        <v>N/A</v>
      </c>
      <c r="J140" s="54">
        <f>raw!J223</f>
        <v>0</v>
      </c>
      <c r="K140" s="54">
        <f>raw!K223</f>
        <v>0</v>
      </c>
      <c r="L140" s="54">
        <f>raw!L223</f>
        <v>0</v>
      </c>
      <c r="M140" s="54" t="str">
        <f>_xlfn.TEXTJOIN(CHAR(10),TRUE,raw!M223:M224)</f>
        <v/>
      </c>
      <c r="N140" s="54">
        <f>raw!N223</f>
        <v>0</v>
      </c>
      <c r="O140" s="54" t="str">
        <f>_xlfn.TEXTJOIN(CHAR(10),TRUE,raw!O223:O224)</f>
        <v>Low</v>
      </c>
      <c r="P140" s="54">
        <f>raw!P223</f>
        <v>0</v>
      </c>
      <c r="Q140" s="54">
        <f>raw!Q223</f>
        <v>0</v>
      </c>
      <c r="R140" s="54" t="str" cm="1">
        <f t="array" ref="R140">_xlfn.LET(_xlpm.txt,LOWER(B140&amp;" "&amp;C140&amp;" "&amp;F140&amp;" "&amp;M140&amp;" "&amp;O140),_xlfn.IFS(OR(IFERROR(SEARCH("diw",_xlpm.txt),0)&gt;0,IFERROR(SEARCH("cost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40" s="54" t="str" cm="1">
        <f t="array" ref="S140">_xlfn.LET(_xlpm.txt,LOWER(B140&amp;" "&amp;C140&amp;" "&amp;F140&amp;" "&amp;M140&amp;" "&amp;O140),_xlfn.IFS(IFERROR(SEARCH("diw",_xlpm.txt),0)&gt;0,"diw",IFERROR(SEARCH("cost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40" s="54" t="s">
        <v>63</v>
      </c>
    </row>
    <row r="141" spans="1:20" ht="28.5" hidden="1" x14ac:dyDescent="0.45">
      <c r="A141" s="54">
        <f>raw!A227</f>
        <v>143</v>
      </c>
      <c r="B141" s="54" t="str">
        <f>raw!B227</f>
        <v>Active Streamer</v>
      </c>
      <c r="C141" s="54" t="str">
        <f>raw!C227</f>
        <v>System</v>
      </c>
      <c r="D141" s="54" t="str">
        <f>raw!D227</f>
        <v>Must</v>
      </c>
      <c r="E141" s="54" t="str">
        <f>raw!E227</f>
        <v>Rework</v>
      </c>
      <c r="F141" s="54" t="str">
        <f>raw!F227</f>
        <v>In the streamer page to view all the tasks for streamer, column name "Actual Finish Date" should be "Actual Completion Date"</v>
      </c>
      <c r="G141" s="55">
        <f>raw!G227</f>
        <v>46129</v>
      </c>
      <c r="H141" s="54" t="str">
        <f>raw!H227</f>
        <v>Ray</v>
      </c>
      <c r="I141" s="54" t="str">
        <f>raw!I227</f>
        <v>Refer to screen capture</v>
      </c>
      <c r="J141" s="54">
        <f>raw!J227</f>
        <v>0</v>
      </c>
      <c r="K141" s="54">
        <f>raw!K227</f>
        <v>0</v>
      </c>
      <c r="L141" s="54">
        <f>raw!L227</f>
        <v>0</v>
      </c>
      <c r="M141" s="54">
        <f>raw!M227</f>
        <v>0</v>
      </c>
      <c r="N141" s="54">
        <f>raw!N227</f>
        <v>0</v>
      </c>
      <c r="O141" s="54" t="str">
        <f>raw!O227</f>
        <v>Low</v>
      </c>
      <c r="P141" s="54">
        <f>raw!P227</f>
        <v>0</v>
      </c>
      <c r="Q141" s="54">
        <f>raw!Q227</f>
        <v>0</v>
      </c>
      <c r="R141" s="54" t="str" cm="1">
        <f t="array" ref="R141">_xlfn.LET(_xlpm.txt,LOWER(B141&amp;" "&amp;C141&amp;" "&amp;F141&amp;" "&amp;M141&amp;" "&amp;O141),_xlfn.IFS(OR(IFERROR(SEARCH("diw",_xlpm.txt),0)&gt;0,IFERROR(SEARCH("cost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41" s="54" t="str" cm="1">
        <f t="array" ref="S141">_xlfn.LET(_xlpm.txt,LOWER(B141&amp;" "&amp;C141&amp;" "&amp;F141&amp;" "&amp;M141&amp;" "&amp;O141),_xlfn.IFS(IFERROR(SEARCH("diw",_xlpm.txt),0)&gt;0,"diw",IFERROR(SEARCH("cost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actual completion</v>
      </c>
      <c r="T141" s="54" t="s">
        <v>63</v>
      </c>
    </row>
    <row r="142" spans="1:20" ht="71.25" hidden="1" x14ac:dyDescent="0.45">
      <c r="A142" s="54">
        <f>raw!A230</f>
        <v>146</v>
      </c>
      <c r="B142" s="54" t="str">
        <f>raw!B230</f>
        <v>Planner -&gt; Streamer</v>
      </c>
      <c r="C142" s="54" t="str">
        <f>raw!C230</f>
        <v>System</v>
      </c>
      <c r="D142" s="54">
        <f>raw!D230</f>
        <v>0</v>
      </c>
      <c r="E142" s="54" t="str">
        <f>raw!E230</f>
        <v>Rework</v>
      </c>
      <c r="F142" s="54" t="str">
        <f>_xlfn.TEXTJOIN(CHAR(10),TRUE,raw!F230:F234)</f>
        <v>Task 9, (10), 15, 32, 33 – Task Owner Logic
If Tasks 9, (10), 15, 32, and 33 are all at Level 1 (L1) and disabled at the module level, please also disable the engine level.
If a module is upgraded from Level 1 (L1) to Level 2 (L2), the corresponding applicable items shall be enabled.</v>
      </c>
      <c r="G142" s="55">
        <f>raw!G230</f>
        <v>46130</v>
      </c>
      <c r="H142" s="54" t="str">
        <f>raw!H230</f>
        <v>Ricky</v>
      </c>
      <c r="I142" s="54">
        <f>raw!I230</f>
        <v>0</v>
      </c>
      <c r="J142" s="54">
        <f>raw!J230</f>
        <v>0</v>
      </c>
      <c r="K142" s="54">
        <f>raw!K230</f>
        <v>0</v>
      </c>
      <c r="L142" s="54">
        <f>raw!L230</f>
        <v>0</v>
      </c>
      <c r="M142" s="54" t="str">
        <f>_xlfn.TEXTJOIN(CHAR(10),TRUE,raw!M230:M234)</f>
        <v/>
      </c>
      <c r="N142" s="54">
        <f>raw!N230</f>
        <v>0</v>
      </c>
      <c r="O142" s="54" t="str">
        <f>_xlfn.TEXTJOIN(CHAR(10),TRUE,raw!O230:O234)</f>
        <v>High, engine task is not aligned with module</v>
      </c>
      <c r="P142" s="54">
        <f>raw!P230</f>
        <v>0</v>
      </c>
      <c r="Q142" s="54">
        <f>raw!Q230</f>
        <v>0</v>
      </c>
      <c r="R142" s="54" t="str" cm="1">
        <f t="array" ref="R142">_xlfn.LET(_xlpm.txt,LOWER(B142&amp;" "&amp;C142&amp;" "&amp;F142&amp;" "&amp;M142&amp;" "&amp;O142),_xlfn.IFS(OR(IFERROR(SEARCH("diw",_xlpm.txt),0)&gt;0,IFERROR(SEARCH("cost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42" s="54" t="str" cm="1">
        <f t="array" ref="S142">_xlfn.LET(_xlpm.txt,LOWER(B142&amp;" "&amp;C142&amp;" "&amp;F142&amp;" "&amp;M142&amp;" "&amp;O142),_xlfn.IFS(IFERROR(SEARCH("diw",_xlpm.txt),0)&gt;0,"diw",IFERROR(SEARCH("cost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task owner</v>
      </c>
      <c r="T142" s="54" t="s">
        <v>102</v>
      </c>
    </row>
    <row r="143" spans="1:20" ht="42.75" hidden="1" x14ac:dyDescent="0.45">
      <c r="A143" s="54">
        <f>raw!A235</f>
        <v>147</v>
      </c>
      <c r="B143" s="54" t="str">
        <f>raw!B235</f>
        <v>Planner -&gt; Streamer</v>
      </c>
      <c r="C143" s="54" t="str">
        <f>raw!C235</f>
        <v>System</v>
      </c>
      <c r="D143" s="54" t="str">
        <f>raw!D235</f>
        <v>Must</v>
      </c>
      <c r="E143" s="54" t="str">
        <f>raw!E235</f>
        <v>Bug</v>
      </c>
      <c r="F143" s="54" t="str">
        <f>_xlfn.TEXTJOIN(CHAR(10),TRUE,raw!F235:F236)</f>
        <v>Module SN change only – task data (Finish Date, PCD, ACD) to remain unchanged.
Duplicted, refer to #50</v>
      </c>
      <c r="G143" s="55">
        <f>raw!G235</f>
        <v>46130</v>
      </c>
      <c r="H143" s="54" t="str">
        <f>raw!H235</f>
        <v>Ricky</v>
      </c>
      <c r="I143" s="54">
        <f>raw!I235</f>
        <v>0</v>
      </c>
      <c r="J143" s="54">
        <f>raw!J235</f>
        <v>0</v>
      </c>
      <c r="K143" s="54">
        <f>raw!K235</f>
        <v>0</v>
      </c>
      <c r="L143" s="54">
        <f>raw!L235</f>
        <v>0</v>
      </c>
      <c r="M143" s="54" t="str">
        <f>_xlfn.TEXTJOIN(CHAR(10),TRUE,raw!M235:M236)</f>
        <v/>
      </c>
      <c r="N143" s="54">
        <f>raw!N235</f>
        <v>0</v>
      </c>
      <c r="O143" s="54" t="str">
        <f>_xlfn.TEXTJOIN(CHAR(10),TRUE,raw!O235:O236)</f>
        <v>High, operational risk</v>
      </c>
      <c r="P143" s="54">
        <f>raw!P235</f>
        <v>0</v>
      </c>
      <c r="Q143" s="54">
        <f>raw!Q235</f>
        <v>0</v>
      </c>
      <c r="R143" s="54" t="str" cm="1">
        <f t="array" ref="R143">_xlfn.LET(_xlpm.txt,LOWER(B143&amp;" "&amp;C143&amp;" "&amp;F143&amp;" "&amp;M143&amp;" "&amp;O143),_xlfn.IFS(OR(IFERROR(SEARCH("diw",_xlpm.txt),0)&gt;0,IFERROR(SEARCH("cost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Action</v>
      </c>
      <c r="S143" s="54" t="str" cm="1">
        <f t="array" ref="S143">_xlfn.LET(_xlpm.txt,LOWER(B143&amp;" "&amp;C143&amp;" "&amp;F143&amp;" "&amp;M143&amp;" "&amp;O143),_xlfn.IFS(IFERROR(SEARCH("diw",_xlpm.txt),0)&gt;0,"diw",IFERROR(SEARCH("cost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PCD</v>
      </c>
      <c r="T143" s="54" t="s">
        <v>102</v>
      </c>
    </row>
    <row r="144" spans="1:20" ht="28.5" hidden="1" x14ac:dyDescent="0.45">
      <c r="A144" s="54">
        <f>raw!A91</f>
        <v>62</v>
      </c>
      <c r="B144" s="54" t="str">
        <f>raw!B91</f>
        <v>Admin - Template Management</v>
      </c>
      <c r="C144" s="54" t="str">
        <f>raw!C91</f>
        <v>Gantt View</v>
      </c>
      <c r="D144" s="54" t="str">
        <f>raw!D91</f>
        <v>Should</v>
      </c>
      <c r="E144" s="54" t="str">
        <f>raw!E91</f>
        <v>Rework</v>
      </c>
      <c r="F144" s="54" t="str">
        <f>raw!F91</f>
        <v>Since this is the template's grantt view, the display's start date and end date should be showing number instead of calendar date</v>
      </c>
      <c r="G144" s="55">
        <f>raw!G91</f>
        <v>46105</v>
      </c>
      <c r="H144" s="54" t="str">
        <f>raw!H91</f>
        <v>Eugene</v>
      </c>
      <c r="I144" s="54" t="str">
        <f>raw!I91</f>
        <v>Refer to Screen Capture</v>
      </c>
      <c r="J144" s="54" t="str">
        <f>raw!J91</f>
        <v>Bug</v>
      </c>
      <c r="K144" s="54">
        <f>raw!K91</f>
        <v>0</v>
      </c>
      <c r="L144" s="54">
        <f>raw!L91</f>
        <v>0</v>
      </c>
      <c r="M144" s="54" t="str">
        <f>raw!M91</f>
        <v>To be corrected</v>
      </c>
      <c r="N144" s="54">
        <f>raw!N91</f>
        <v>0</v>
      </c>
      <c r="O144" s="54" t="str">
        <f>raw!O91</f>
        <v>Low</v>
      </c>
      <c r="P144" s="54">
        <f>raw!P91</f>
        <v>0</v>
      </c>
      <c r="Q144" s="54" t="str">
        <f>raw!Q91</f>
        <v>Fixed</v>
      </c>
      <c r="R144" s="54" t="str" cm="1">
        <f t="array" ref="R144">_xlfn.LET(_xlpm.txt,LOWER(B144&amp;" "&amp;C144&amp;" "&amp;F144&amp;" "&amp;M144&amp;" "&amp;O144),_xlfn.IFS(OR(IFERROR(SEARCH("diw",_xlpm.txt),0)&gt;0,IFERROR(SEARCH("cost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View</v>
      </c>
      <c r="S144" s="54" t="str" cm="1">
        <f t="array" ref="S144">_xlfn.LET(_xlpm.txt,LOWER(B144&amp;" "&amp;C144&amp;" "&amp;F144&amp;" "&amp;M144&amp;" "&amp;O144),_xlfn.IFS(IFERROR(SEARCH("diw",_xlpm.txt),0)&gt;0,"diw",IFERROR(SEARCH("cost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calendar</v>
      </c>
      <c r="T144" s="54" t="s">
        <v>63</v>
      </c>
    </row>
    <row r="145" spans="1:20" ht="85.5" hidden="1" x14ac:dyDescent="0.45">
      <c r="A145" s="54">
        <f>raw!A92</f>
        <v>63</v>
      </c>
      <c r="B145" s="54" t="str">
        <f>raw!B92</f>
        <v xml:space="preserve">Planner -&gt; Streamer -&gt; </v>
      </c>
      <c r="C145" s="54" t="str">
        <f>raw!C92</f>
        <v>System</v>
      </c>
      <c r="D145" s="54" t="str">
        <f>raw!D92</f>
        <v>Must</v>
      </c>
      <c r="E145" s="54" t="str">
        <f>raw!E92</f>
        <v>Bug</v>
      </c>
      <c r="F145" s="54" t="str">
        <f>_xlfn.TEXTJOIN(CHAR(10),TRUE,raw!F92:F93)</f>
        <v>Tasks may be completed earlier than anticipated. Attempted to select today's date (25/03/2026), Project Completion Date cell does not allow for dates earlier than 03/04/2026. Why cannot earlier.
Ray: The date selection in calendar in both PCD and ACD is not consistent, sometimes could input today -7, sometimes could input today -14.</v>
      </c>
      <c r="G145" s="55">
        <f>raw!G92</f>
        <v>46105</v>
      </c>
      <c r="H145" s="54" t="str">
        <f>raw!H92</f>
        <v>Ricky</v>
      </c>
      <c r="I145" s="54" t="str">
        <f>raw!I92</f>
        <v>Refer to Screen Capture</v>
      </c>
      <c r="J145" s="54" t="str">
        <f>raw!J92</f>
        <v>Bug</v>
      </c>
      <c r="K145" s="54">
        <f>raw!K92</f>
        <v>0</v>
      </c>
      <c r="L145" s="54">
        <f>raw!L92</f>
        <v>0</v>
      </c>
      <c r="M145" s="54" t="str">
        <f>_xlfn.TEXTJOIN(CHAR(10),TRUE,raw!M92:M93)</f>
        <v>To be fixed</v>
      </c>
      <c r="N145" s="54">
        <f>raw!N92</f>
        <v>0</v>
      </c>
      <c r="O145" s="54" t="str">
        <f>_xlfn.TEXTJOIN(CHAR(10),TRUE,raw!O92:O93)</f>
        <v>High</v>
      </c>
      <c r="P145" s="54">
        <f>raw!P92</f>
        <v>0</v>
      </c>
      <c r="Q145" s="54" t="str">
        <f>raw!Q92</f>
        <v>Not yet fix</v>
      </c>
      <c r="R145" s="54" t="str" cm="1">
        <f t="array" ref="R145">_xlfn.LET(_xlpm.txt,LOWER(B145&amp;" "&amp;C145&amp;" "&amp;F145&amp;" "&amp;M145&amp;" "&amp;O145),_xlfn.IFS(OR(IFERROR(SEARCH("diw",_xlpm.txt),0)&gt;0,IFERROR(SEARCH("cost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View</v>
      </c>
      <c r="S145" s="54" t="str" cm="1">
        <f t="array" ref="S145">_xlfn.LET(_xlpm.txt,LOWER(B145&amp;" "&amp;C145&amp;" "&amp;F145&amp;" "&amp;M145&amp;" "&amp;O145),_xlfn.IFS(IFERROR(SEARCH("diw",_xlpm.txt),0)&gt;0,"diw",IFERROR(SEARCH("cost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calendar</v>
      </c>
      <c r="T145" s="54" t="s">
        <v>102</v>
      </c>
    </row>
    <row r="146" spans="1:20" ht="42.75" hidden="1" x14ac:dyDescent="0.45">
      <c r="A146" s="54">
        <f>raw!A109</f>
        <v>74</v>
      </c>
      <c r="B146" s="54" t="str">
        <f>raw!B109</f>
        <v>Task Screen</v>
      </c>
      <c r="C146" s="54" t="str">
        <f>raw!C109</f>
        <v>System</v>
      </c>
      <c r="D146" s="54" t="str">
        <f>raw!D109</f>
        <v>Must</v>
      </c>
      <c r="E146" s="54" t="str">
        <f>raw!E109</f>
        <v>Bug</v>
      </c>
      <c r="F146" s="54" t="str">
        <f>raw!F109</f>
        <v xml:space="preserve">U09 - Custom Date Range filter </v>
      </c>
      <c r="G146" s="55">
        <f>raw!G109</f>
        <v>46114</v>
      </c>
      <c r="H146" s="54" t="str">
        <f>raw!H109</f>
        <v>Praveen on Ray's Behalf</v>
      </c>
      <c r="I146" s="54">
        <f>raw!I109</f>
        <v>0</v>
      </c>
      <c r="J146" s="54" t="str">
        <f>raw!J109</f>
        <v>Bug</v>
      </c>
      <c r="K146" s="54" t="str">
        <f>raw!K109</f>
        <v>P3</v>
      </c>
      <c r="L146" s="54">
        <f>raw!L109</f>
        <v>0</v>
      </c>
      <c r="M146" s="54" t="str">
        <f>raw!M109</f>
        <v>Syncfusion currently doesnt support it, raised a ticket for resolution. Only Month view available as per calendar</v>
      </c>
      <c r="N146" s="54">
        <f>raw!N109</f>
        <v>0</v>
      </c>
      <c r="O146" s="54" t="str">
        <f>raw!O109</f>
        <v>Medium</v>
      </c>
      <c r="P146" s="54">
        <f>raw!P109</f>
        <v>0</v>
      </c>
      <c r="Q146" s="54">
        <f>raw!Q109</f>
        <v>0</v>
      </c>
      <c r="R146" s="54" t="str" cm="1">
        <f t="array" ref="R146">_xlfn.LET(_xlpm.txt,LOWER(B146&amp;" "&amp;C146&amp;" "&amp;F146&amp;" "&amp;M146&amp;" "&amp;O146),_xlfn.IFS(OR(IFERROR(SEARCH("diw",_xlpm.txt),0)&gt;0,IFERROR(SEARCH("cost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View</v>
      </c>
      <c r="S146" s="54" t="str" cm="1">
        <f t="array" ref="S146">_xlfn.LET(_xlpm.txt,LOWER(B146&amp;" "&amp;C146&amp;" "&amp;F146&amp;" "&amp;M146&amp;" "&amp;O146),_xlfn.IFS(IFERROR(SEARCH("diw",_xlpm.txt),0)&gt;0,"diw",IFERROR(SEARCH("cost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calendar</v>
      </c>
      <c r="T146" s="54" t="s">
        <v>48</v>
      </c>
    </row>
    <row r="147" spans="1:20" ht="57" hidden="1" x14ac:dyDescent="0.45">
      <c r="A147" s="54">
        <f>raw!A181</f>
        <v>108</v>
      </c>
      <c r="B147" s="54" t="str">
        <f>raw!B181</f>
        <v>Tasks</v>
      </c>
      <c r="C147" s="54" t="str">
        <f>raw!C181</f>
        <v>System</v>
      </c>
      <c r="D147" s="54" t="str">
        <f>raw!D181</f>
        <v>Must</v>
      </c>
      <c r="E147" s="54" t="str">
        <f>raw!E181</f>
        <v>Enhancement</v>
      </c>
      <c r="F147" s="54" t="str">
        <f>raw!F181</f>
        <v>My Tasks display format not user friendly. Cannot only focus with the outstanding issues. With Searching result : SP, Task 35, 84K, but still showing full Calendar date with no outstanding Task 35. And should not need to click each engine for checking if any outstanding.</v>
      </c>
      <c r="G147" s="55">
        <f>raw!G181</f>
        <v>46121</v>
      </c>
      <c r="H147" s="54" t="str">
        <f>raw!H181</f>
        <v>SP</v>
      </c>
      <c r="I147" s="54">
        <f>raw!I181</f>
        <v>0</v>
      </c>
      <c r="J147" s="54" t="str">
        <f>raw!J181</f>
        <v>Enhancement</v>
      </c>
      <c r="K147" s="54">
        <f>raw!K181</f>
        <v>0</v>
      </c>
      <c r="L147" s="54">
        <f>raw!L181</f>
        <v>0</v>
      </c>
      <c r="M147" s="54" t="str">
        <f>raw!M181</f>
        <v>Please provide the expected enhancement requirement @Ray</v>
      </c>
      <c r="N147" s="54">
        <f>raw!N181</f>
        <v>0</v>
      </c>
      <c r="O147" s="54" t="str">
        <f>raw!O181</f>
        <v>Medium, operational risk</v>
      </c>
      <c r="P147" s="54">
        <f>raw!P181</f>
        <v>0</v>
      </c>
      <c r="Q147" s="54">
        <f>raw!Q181</f>
        <v>0</v>
      </c>
      <c r="R147" s="54" t="str" cm="1">
        <f t="array" ref="R147">_xlfn.LET(_xlpm.txt,LOWER(B147&amp;" "&amp;C147&amp;" "&amp;F147&amp;" "&amp;M147&amp;" "&amp;O147),_xlfn.IFS(OR(IFERROR(SEARCH("diw",_xlpm.txt),0)&gt;0,IFERROR(SEARCH("cost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View</v>
      </c>
      <c r="S147" s="54" t="str" cm="1">
        <f t="array" ref="S147">_xlfn.LET(_xlpm.txt,LOWER(B147&amp;" "&amp;C147&amp;" "&amp;F147&amp;" "&amp;M147&amp;" "&amp;O147),_xlfn.IFS(IFERROR(SEARCH("diw",_xlpm.txt),0)&gt;0,"diw",IFERROR(SEARCH("cost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calendar</v>
      </c>
      <c r="T147" s="54" t="s">
        <v>48</v>
      </c>
    </row>
    <row r="148" spans="1:20" ht="57" hidden="1" x14ac:dyDescent="0.45">
      <c r="A148" s="54">
        <f>raw!A215</f>
        <v>133</v>
      </c>
      <c r="B148" s="54" t="str">
        <f>raw!B215</f>
        <v>Task Owner - Tasks</v>
      </c>
      <c r="C148" s="54" t="str">
        <f>raw!C215</f>
        <v>System</v>
      </c>
      <c r="D148" s="54" t="str">
        <f>raw!D215</f>
        <v>Must</v>
      </c>
      <c r="E148" s="54" t="str">
        <f>raw!E215</f>
        <v>Bug</v>
      </c>
      <c r="F148" s="54" t="str">
        <f>raw!F215</f>
        <v>The tasks view always have unexpected movement of the user view. When I click on a task at the bottom, after I save the task to view the changes, the screen will move back to the top of the calendar, not orginally I focus on.</v>
      </c>
      <c r="G148" s="55">
        <f>raw!G215</f>
        <v>46129</v>
      </c>
      <c r="H148" s="54" t="str">
        <f>raw!H215</f>
        <v>Ray</v>
      </c>
      <c r="I148" s="54" t="str">
        <f>raw!I215</f>
        <v>To be demo</v>
      </c>
      <c r="J148" s="54">
        <f>raw!J215</f>
        <v>0</v>
      </c>
      <c r="K148" s="54">
        <f>raw!K215</f>
        <v>0</v>
      </c>
      <c r="L148" s="54">
        <f>raw!L215</f>
        <v>0</v>
      </c>
      <c r="M148" s="54">
        <f>raw!M215</f>
        <v>0</v>
      </c>
      <c r="N148" s="54">
        <f>raw!N215</f>
        <v>0</v>
      </c>
      <c r="O148" s="54" t="str">
        <f>raw!O215</f>
        <v>Medium, the position of the form should be sticky after action triggered</v>
      </c>
      <c r="P148" s="54">
        <f>raw!P215</f>
        <v>0</v>
      </c>
      <c r="Q148" s="54">
        <f>raw!Q215</f>
        <v>0</v>
      </c>
      <c r="R148" s="54" t="str" cm="1">
        <f t="array" ref="R148">_xlfn.LET(_xlpm.txt,LOWER(B148&amp;" "&amp;C148&amp;" "&amp;F148&amp;" "&amp;M148&amp;" "&amp;O148),_xlfn.IFS(OR(IFERROR(SEARCH("diw",_xlpm.txt),0)&gt;0,IFERROR(SEARCH("cost review",_xlpm.txt),0)&gt;0,IFERROR(SEARCH("re-induction",_xlpm.txt),0)&gt;0,IFERROR(SEARCH("second induction",_xlpm.txt),0)&gt;0,IFERROR(SEARCH("quotation",_xlpm.txt),0)&gt;0),"DIW/Cost Review",OR(IFERROR(SEARCH("swap",_xlpm.txt),0)&gt;0,IFERROR(SEARCH("off-module",_xlpm.txt),0)&gt;0,IFERROR(SEARCH("off module",_xlpm.txt),0)&gt;0,IFERROR(SEARCH("dispatch module",_xlpm.txt),0)&gt;0),"Swap Module",OR(IFERROR(SEARCH("notif",_xlpm.txt),0)&gt;0,IFERROR(SEARCH("line manager",_xlpm.txt),0)&gt;0,IFERROR(SEARCH("reject reason",_xlpm.txt),0)&gt;0,IFERROR(SEARCH("approval",_xlpm.txt),0)&gt;0,IFERROR(SEARCH("approve",_xlpm.txt),0)&gt;0),"Notification",IFERROR(SEARCH("calendar",_xlpm.txt),0)&gt;0,"Task Owner View",OR(IFERROR(SEARCH("task owner",_xlpm.txt),0)&gt;0,IFERROR(SEARCH("pcd",_xlpm.txt),0)&gt;0,IFERROR(SEARCH("acd",_xlpm.txt),0)&gt;0,IFERROR(SEARCH("actual completion",_xlpm.txt),0)&gt;0,IFERROR(SEARCH("delay",_xlpm.txt),0)&gt;0,IFERROR(SEARCH("task ",_xlpm.txt),0)&gt;0,IFERROR(SEARCH("tasks",_xlpm.txt),0)&gt;0),"Task Owner Action",TRUE,"Other / General"))</f>
        <v>Task Owner View</v>
      </c>
      <c r="S148" s="54" t="str" cm="1">
        <f t="array" ref="S148">_xlfn.LET(_xlpm.txt,LOWER(B148&amp;" "&amp;C148&amp;" "&amp;F148&amp;" "&amp;M148&amp;" "&amp;O148),_xlfn.IFS(IFERROR(SEARCH("diw",_xlpm.txt),0)&gt;0,"diw",IFERROR(SEARCH("cost review",_xlpm.txt),0)&gt;0,"cost review",IFERROR(SEARCH("re-induction",_xlpm.txt),0)&gt;0,"re-induction",IFERROR(SEARCH("second induction",_xlpm.txt),0)&gt;0,"second induction",IFERROR(SEARCH("quotation",_xlpm.txt),0)&gt;0,"quotation",IFERROR(SEARCH("swap",_xlpm.txt),0)&gt;0,"swap",IFERROR(SEARCH("off-module",_xlpm.txt),0)&gt;0,"off-module",IFERROR(SEARCH("off module",_xlpm.txt),0)&gt;0,"off module",IFERROR(SEARCH("dispatch module",_xlpm.txt),0)&gt;0,"dispatch module",IFERROR(SEARCH("notif",_xlpm.txt),0)&gt;0,"notification",IFERROR(SEARCH("line manager",_xlpm.txt),0)&gt;0,"line manager",IFERROR(SEARCH("reject reason",_xlpm.txt),0)&gt;0,"reject reason",IFERROR(SEARCH("approval",_xlpm.txt),0)&gt;0,"approval",IFERROR(SEARCH("approve",_xlpm.txt),0)&gt;0,"approve",IFERROR(SEARCH("calendar",_xlpm.txt),0)&gt;0,"calendar",IFERROR(SEARCH("task owner",_xlpm.txt),0)&gt;0,"task owner",IFERROR(SEARCH("pcd",_xlpm.txt),0)&gt;0,"PCD",IFERROR(SEARCH("acd",_xlpm.txt),0)&gt;0,"ACD",IFERROR(SEARCH("actual completion",_xlpm.txt),0)&gt;0,"actual completion",IFERROR(SEARCH("delay",_xlpm.txt),0)&gt;0,"delay",IFERROR(SEARCH("task ",_xlpm.txt),0)&gt;0,"task",IFERROR(SEARCH("tasks",_xlpm.txt),0)&gt;0,"tasks",TRUE,"(no match)"))</f>
        <v>calendar</v>
      </c>
      <c r="T148" s="54" t="s">
        <v>48</v>
      </c>
    </row>
  </sheetData>
  <autoFilter ref="A1:T148" xr:uid="{807D61B4-78AA-4E70-A0C4-2B1132170A80}">
    <filterColumn colId="17">
      <filters>
        <filter val="DIW/Cost Review"/>
        <filter val="Swap Module"/>
      </filters>
    </filterColumn>
  </autoFilter>
  <conditionalFormatting sqref="R2:R148">
    <cfRule type="cellIs" dxfId="5" priority="1" operator="equal">
      <formula>"Swap Module"</formula>
    </cfRule>
    <cfRule type="cellIs" dxfId="4" priority="2" operator="equal">
      <formula>"Task Owner View"</formula>
    </cfRule>
    <cfRule type="cellIs" dxfId="3" priority="3" operator="equal">
      <formula>"Task Owner Action"</formula>
    </cfRule>
    <cfRule type="cellIs" dxfId="2" priority="4" operator="equal">
      <formula>"Notification"</formula>
    </cfRule>
    <cfRule type="cellIs" dxfId="1" priority="5" operator="equal">
      <formula>"DIW/Cost Review"</formula>
    </cfRule>
    <cfRule type="cellIs" dxfId="0" priority="6" operator="equal">
      <formula>"Other / General"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classifications</vt:lpstr>
      <vt:lpstr>calc</vt:lpstr>
      <vt:lpstr>wiki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yk chan</dc:creator>
  <cp:lastModifiedBy>chris yk chan</cp:lastModifiedBy>
  <dcterms:created xsi:type="dcterms:W3CDTF">2026-04-21T02:00:51Z</dcterms:created>
  <dcterms:modified xsi:type="dcterms:W3CDTF">2026-04-21T07:17:28Z</dcterms:modified>
</cp:coreProperties>
</file>