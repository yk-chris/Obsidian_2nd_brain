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yk-chris.chan\Documents\GitHub\Obsidian_2nd_brain\WORK\Projects_HAESL\proj_digital_streamer\assets\map_UAT_streamer_20260415\"/>
    </mc:Choice>
  </mc:AlternateContent>
  <xr:revisionPtr revIDLastSave="0" documentId="13_ncr:1_{F48C5853-DF03-4BA9-B41E-250464486726}" xr6:coauthVersionLast="47" xr6:coauthVersionMax="47" xr10:uidLastSave="{00000000-0000-0000-0000-000000000000}"/>
  <bookViews>
    <workbookView xWindow="-120" yWindow="-120" windowWidth="29040" windowHeight="15720" activeTab="4" xr2:uid="{59FB7277-34E1-4CA7-B3F3-92087669BE89}"/>
  </bookViews>
  <sheets>
    <sheet name="26035" sheetId="1" r:id="rId1"/>
    <sheet name="26035 (MST+26)" sheetId="2" r:id="rId2"/>
    <sheet name="26035 (MST-26)" sheetId="3" r:id="rId3"/>
    <sheet name="26035 (MST-5)" sheetId="4" r:id="rId4"/>
    <sheet name="26035 (MST+5)" sheetId="5" r:id="rId5"/>
    <sheet name="26035 (MST hit BLT)" sheetId="6" r:id="rId6"/>
    <sheet name="26035 (MST back to original)" sheetId="7" r:id="rId7"/>
  </sheets>
  <definedNames>
    <definedName name="_xlnm._FilterDatabase" localSheetId="0" hidden="1">'26035'!$A$1:$G$58</definedName>
    <definedName name="_xlnm._FilterDatabase" localSheetId="6" hidden="1">'26035 (MST back to original)'!$A$1:$J$58</definedName>
    <definedName name="_xlnm._FilterDatabase" localSheetId="5" hidden="1">'26035 (MST hit BLT)'!$A$1:$J$58</definedName>
    <definedName name="_xlnm._FilterDatabase" localSheetId="1" hidden="1">'26035 (MST+26)'!$A$1:$G$58</definedName>
    <definedName name="_xlnm._FilterDatabase" localSheetId="4" hidden="1">'26035 (MST+5)'!$A$1:$J$58</definedName>
    <definedName name="_xlnm._FilterDatabase" localSheetId="2" hidden="1">'26035 (MST-26)'!$A$1:$J$58</definedName>
    <definedName name="_xlnm._FilterDatabase" localSheetId="3" hidden="1">'26035 (MST-5)'!$A$1:$J$58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4" i="7" l="1"/>
  <c r="I55" i="7"/>
  <c r="I56" i="7"/>
  <c r="I57" i="7"/>
  <c r="J58" i="7"/>
  <c r="I58" i="7"/>
  <c r="H58" i="7"/>
  <c r="J57" i="7"/>
  <c r="H57" i="7"/>
  <c r="J56" i="7"/>
  <c r="H56" i="7"/>
  <c r="J55" i="7"/>
  <c r="H55" i="7"/>
  <c r="J54" i="7"/>
  <c r="H54" i="7"/>
  <c r="J53" i="7"/>
  <c r="I53" i="7"/>
  <c r="H53" i="7"/>
  <c r="J52" i="7"/>
  <c r="I52" i="7"/>
  <c r="H52" i="7"/>
  <c r="J51" i="7"/>
  <c r="I51" i="7"/>
  <c r="H51" i="7"/>
  <c r="J50" i="7"/>
  <c r="I50" i="7"/>
  <c r="H50" i="7"/>
  <c r="J49" i="7"/>
  <c r="I49" i="7"/>
  <c r="H49" i="7"/>
  <c r="J48" i="7"/>
  <c r="I48" i="7"/>
  <c r="H48" i="7"/>
  <c r="J47" i="7"/>
  <c r="I47" i="7"/>
  <c r="H47" i="7"/>
  <c r="J46" i="7"/>
  <c r="I46" i="7"/>
  <c r="H46" i="7"/>
  <c r="J45" i="7"/>
  <c r="I45" i="7"/>
  <c r="H45" i="7"/>
  <c r="J44" i="7"/>
  <c r="I44" i="7"/>
  <c r="H44" i="7"/>
  <c r="J43" i="7"/>
  <c r="I43" i="7"/>
  <c r="H43" i="7"/>
  <c r="J42" i="7"/>
  <c r="I42" i="7"/>
  <c r="H42" i="7"/>
  <c r="J41" i="7"/>
  <c r="I41" i="7"/>
  <c r="H41" i="7"/>
  <c r="J40" i="7"/>
  <c r="I40" i="7"/>
  <c r="H40" i="7"/>
  <c r="J39" i="7"/>
  <c r="I39" i="7"/>
  <c r="H39" i="7"/>
  <c r="J38" i="7"/>
  <c r="I38" i="7"/>
  <c r="H38" i="7"/>
  <c r="J37" i="7"/>
  <c r="I37" i="7"/>
  <c r="H37" i="7"/>
  <c r="J36" i="7"/>
  <c r="I36" i="7"/>
  <c r="H36" i="7"/>
  <c r="J35" i="7"/>
  <c r="I35" i="7"/>
  <c r="H35" i="7"/>
  <c r="J34" i="7"/>
  <c r="I34" i="7"/>
  <c r="H34" i="7"/>
  <c r="J33" i="7"/>
  <c r="I33" i="7"/>
  <c r="H33" i="7"/>
  <c r="J32" i="7"/>
  <c r="I32" i="7"/>
  <c r="H32" i="7"/>
  <c r="J31" i="7"/>
  <c r="I31" i="7"/>
  <c r="H31" i="7"/>
  <c r="J30" i="7"/>
  <c r="I30" i="7"/>
  <c r="H30" i="7"/>
  <c r="J29" i="7"/>
  <c r="I29" i="7"/>
  <c r="H29" i="7"/>
  <c r="J28" i="7"/>
  <c r="I28" i="7"/>
  <c r="H28" i="7"/>
  <c r="J27" i="7"/>
  <c r="I27" i="7"/>
  <c r="H27" i="7"/>
  <c r="J26" i="7"/>
  <c r="I26" i="7"/>
  <c r="H26" i="7"/>
  <c r="J25" i="7"/>
  <c r="I25" i="7"/>
  <c r="H25" i="7"/>
  <c r="J24" i="7"/>
  <c r="I24" i="7"/>
  <c r="H24" i="7"/>
  <c r="J23" i="7"/>
  <c r="I23" i="7"/>
  <c r="H23" i="7"/>
  <c r="J22" i="7"/>
  <c r="I22" i="7"/>
  <c r="H22" i="7"/>
  <c r="J21" i="7"/>
  <c r="I21" i="7"/>
  <c r="H21" i="7"/>
  <c r="J20" i="7"/>
  <c r="I20" i="7"/>
  <c r="H20" i="7"/>
  <c r="J19" i="7"/>
  <c r="I19" i="7"/>
  <c r="H19" i="7"/>
  <c r="J18" i="7"/>
  <c r="I18" i="7"/>
  <c r="H18" i="7"/>
  <c r="J17" i="7"/>
  <c r="I17" i="7"/>
  <c r="H17" i="7"/>
  <c r="J16" i="7"/>
  <c r="I16" i="7"/>
  <c r="H16" i="7"/>
  <c r="J15" i="7"/>
  <c r="I15" i="7"/>
  <c r="H15" i="7"/>
  <c r="J14" i="7"/>
  <c r="I14" i="7"/>
  <c r="H14" i="7"/>
  <c r="J13" i="7"/>
  <c r="I13" i="7"/>
  <c r="H13" i="7"/>
  <c r="J12" i="7"/>
  <c r="I12" i="7"/>
  <c r="H12" i="7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J5" i="7"/>
  <c r="I5" i="7"/>
  <c r="H5" i="7"/>
  <c r="J4" i="7"/>
  <c r="I4" i="7"/>
  <c r="H4" i="7"/>
  <c r="J3" i="7"/>
  <c r="I3" i="7"/>
  <c r="H3" i="7"/>
  <c r="J2" i="7"/>
  <c r="I2" i="7"/>
  <c r="H2" i="7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  <c r="I13" i="6"/>
  <c r="H13" i="6"/>
  <c r="J12" i="6"/>
  <c r="I12" i="6"/>
  <c r="H12" i="6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J5" i="6"/>
  <c r="I5" i="6"/>
  <c r="H5" i="6"/>
  <c r="J4" i="6"/>
  <c r="I4" i="6"/>
  <c r="H4" i="6"/>
  <c r="J3" i="6"/>
  <c r="I3" i="6"/>
  <c r="H3" i="6"/>
  <c r="J2" i="6"/>
  <c r="I2" i="6"/>
  <c r="H2" i="6"/>
  <c r="J58" i="5"/>
  <c r="I58" i="5"/>
  <c r="H58" i="5"/>
  <c r="J57" i="5"/>
  <c r="I57" i="5"/>
  <c r="H57" i="5"/>
  <c r="J56" i="5"/>
  <c r="I56" i="5"/>
  <c r="H56" i="5"/>
  <c r="J55" i="5"/>
  <c r="I55" i="5"/>
  <c r="H55" i="5"/>
  <c r="J54" i="5"/>
  <c r="I54" i="5"/>
  <c r="H54" i="5"/>
  <c r="J53" i="5"/>
  <c r="I53" i="5"/>
  <c r="H53" i="5"/>
  <c r="J52" i="5"/>
  <c r="I52" i="5"/>
  <c r="H52" i="5"/>
  <c r="J51" i="5"/>
  <c r="I51" i="5"/>
  <c r="H51" i="5"/>
  <c r="J50" i="5"/>
  <c r="I50" i="5"/>
  <c r="H50" i="5"/>
  <c r="J49" i="5"/>
  <c r="I49" i="5"/>
  <c r="H49" i="5"/>
  <c r="J48" i="5"/>
  <c r="I48" i="5"/>
  <c r="H48" i="5"/>
  <c r="J47" i="5"/>
  <c r="I47" i="5"/>
  <c r="H47" i="5"/>
  <c r="J46" i="5"/>
  <c r="I46" i="5"/>
  <c r="H46" i="5"/>
  <c r="J45" i="5"/>
  <c r="I45" i="5"/>
  <c r="H45" i="5"/>
  <c r="J44" i="5"/>
  <c r="I44" i="5"/>
  <c r="H44" i="5"/>
  <c r="J43" i="5"/>
  <c r="I43" i="5"/>
  <c r="H43" i="5"/>
  <c r="J42" i="5"/>
  <c r="I42" i="5"/>
  <c r="H42" i="5"/>
  <c r="J41" i="5"/>
  <c r="I41" i="5"/>
  <c r="H41" i="5"/>
  <c r="J40" i="5"/>
  <c r="I40" i="5"/>
  <c r="H40" i="5"/>
  <c r="J39" i="5"/>
  <c r="I39" i="5"/>
  <c r="H39" i="5"/>
  <c r="J38" i="5"/>
  <c r="I38" i="5"/>
  <c r="H38" i="5"/>
  <c r="J37" i="5"/>
  <c r="I37" i="5"/>
  <c r="H37" i="5"/>
  <c r="J36" i="5"/>
  <c r="I36" i="5"/>
  <c r="H36" i="5"/>
  <c r="J35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J5" i="5"/>
  <c r="I5" i="5"/>
  <c r="H5" i="5"/>
  <c r="J4" i="5"/>
  <c r="I4" i="5"/>
  <c r="H4" i="5"/>
  <c r="J3" i="5"/>
  <c r="I3" i="5"/>
  <c r="H3" i="5"/>
  <c r="J2" i="5"/>
  <c r="I2" i="5"/>
  <c r="H2" i="5"/>
  <c r="J58" i="4"/>
  <c r="I58" i="4"/>
  <c r="H58" i="4"/>
  <c r="J57" i="4"/>
  <c r="I57" i="4"/>
  <c r="H57" i="4"/>
  <c r="J56" i="4"/>
  <c r="I56" i="4"/>
  <c r="H56" i="4"/>
  <c r="J55" i="4"/>
  <c r="I55" i="4"/>
  <c r="H55" i="4"/>
  <c r="J54" i="4"/>
  <c r="I54" i="4"/>
  <c r="H54" i="4"/>
  <c r="J53" i="4"/>
  <c r="I53" i="4"/>
  <c r="H53" i="4"/>
  <c r="J52" i="4"/>
  <c r="I52" i="4"/>
  <c r="H52" i="4"/>
  <c r="J51" i="4"/>
  <c r="I51" i="4"/>
  <c r="H51" i="4"/>
  <c r="J50" i="4"/>
  <c r="I50" i="4"/>
  <c r="H50" i="4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J4" i="4"/>
  <c r="I4" i="4"/>
  <c r="H4" i="4"/>
  <c r="J3" i="4"/>
  <c r="I3" i="4"/>
  <c r="H3" i="4"/>
  <c r="J2" i="4"/>
  <c r="I2" i="4"/>
  <c r="H2" i="4"/>
  <c r="J58" i="3"/>
  <c r="I58" i="3"/>
  <c r="H58" i="3"/>
  <c r="J57" i="3"/>
  <c r="I57" i="3"/>
  <c r="H57" i="3"/>
  <c r="J56" i="3"/>
  <c r="I56" i="3"/>
  <c r="H56" i="3"/>
  <c r="J55" i="3"/>
  <c r="I55" i="3"/>
  <c r="H55" i="3"/>
  <c r="J54" i="3"/>
  <c r="I54" i="3"/>
  <c r="H54" i="3"/>
  <c r="J53" i="3"/>
  <c r="I53" i="3"/>
  <c r="H53" i="3"/>
  <c r="J52" i="3"/>
  <c r="I52" i="3"/>
  <c r="H52" i="3"/>
  <c r="J51" i="3"/>
  <c r="I51" i="3"/>
  <c r="H51" i="3"/>
  <c r="J50" i="3"/>
  <c r="I50" i="3"/>
  <c r="H50" i="3"/>
  <c r="J49" i="3"/>
  <c r="I49" i="3"/>
  <c r="H49" i="3"/>
  <c r="J48" i="3"/>
  <c r="I48" i="3"/>
  <c r="H48" i="3"/>
  <c r="J47" i="3"/>
  <c r="I47" i="3"/>
  <c r="H47" i="3"/>
  <c r="J46" i="3"/>
  <c r="I46" i="3"/>
  <c r="H46" i="3"/>
  <c r="J45" i="3"/>
  <c r="I45" i="3"/>
  <c r="H45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J10" i="3"/>
  <c r="I10" i="3"/>
  <c r="H10" i="3"/>
  <c r="J9" i="3"/>
  <c r="I9" i="3"/>
  <c r="H9" i="3"/>
  <c r="J8" i="3"/>
  <c r="I8" i="3"/>
  <c r="H8" i="3"/>
  <c r="J7" i="3"/>
  <c r="I7" i="3"/>
  <c r="H7" i="3"/>
  <c r="J6" i="3"/>
  <c r="I6" i="3"/>
  <c r="H6" i="3"/>
  <c r="J5" i="3"/>
  <c r="I5" i="3"/>
  <c r="H5" i="3"/>
  <c r="J4" i="3"/>
  <c r="I4" i="3"/>
  <c r="H4" i="3"/>
  <c r="J3" i="3"/>
  <c r="I3" i="3"/>
  <c r="H3" i="3"/>
  <c r="J2" i="3"/>
  <c r="I2" i="3"/>
  <c r="H2" i="3"/>
  <c r="H3" i="2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H38" i="2"/>
  <c r="I38" i="2"/>
  <c r="J38" i="2"/>
  <c r="H39" i="2"/>
  <c r="I39" i="2"/>
  <c r="J39" i="2"/>
  <c r="H40" i="2"/>
  <c r="I40" i="2"/>
  <c r="J40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H54" i="2"/>
  <c r="I54" i="2"/>
  <c r="J54" i="2"/>
  <c r="H55" i="2"/>
  <c r="I55" i="2"/>
  <c r="J55" i="2"/>
  <c r="H56" i="2"/>
  <c r="I56" i="2"/>
  <c r="J56" i="2"/>
  <c r="H57" i="2"/>
  <c r="I57" i="2"/>
  <c r="J57" i="2"/>
  <c r="H58" i="2"/>
  <c r="I58" i="2"/>
  <c r="J58" i="2"/>
  <c r="J2" i="2"/>
  <c r="I2" i="2"/>
  <c r="H2" i="2"/>
</calcChain>
</file>

<file path=xl/sharedStrings.xml><?xml version="1.0" encoding="utf-8"?>
<sst xmlns="http://schemas.openxmlformats.org/spreadsheetml/2006/main" count="1169" uniqueCount="115">
  <si>
    <r>
      <t>TRC </t>
    </r>
    <r>
      <rPr>
        <sz val="8"/>
        <color rgb="FFFFFFFF"/>
        <rFont val="Verdana"/>
        <family val="2"/>
      </rPr>
      <t>COST</t>
    </r>
    <r>
      <rPr>
        <sz val="12"/>
        <color theme="1"/>
        <rFont val="Verdana"/>
        <family val="2"/>
      </rPr>
      <t> </t>
    </r>
    <r>
      <rPr>
        <sz val="8"/>
        <color rgb="FFFFFFFF"/>
        <rFont val="Verdana"/>
        <family val="2"/>
      </rPr>
      <t>DIW</t>
    </r>
  </si>
  <si>
    <t>Customer Services</t>
  </si>
  <si>
    <r>
      <t>Input Check </t>
    </r>
    <r>
      <rPr>
        <sz val="8"/>
        <color rgb="FFFFFFFF"/>
        <rFont val="Verdana"/>
        <family val="2"/>
      </rPr>
      <t>COST</t>
    </r>
    <r>
      <rPr>
        <sz val="12"/>
        <color theme="1"/>
        <rFont val="Verdana"/>
        <family val="2"/>
      </rPr>
      <t> </t>
    </r>
    <r>
      <rPr>
        <sz val="8"/>
        <color rgb="FFFFFFFF"/>
        <rFont val="Verdana"/>
        <family val="2"/>
      </rPr>
      <t>DIW</t>
    </r>
  </si>
  <si>
    <t>Module Change</t>
  </si>
  <si>
    <r>
      <t>Induction </t>
    </r>
    <r>
      <rPr>
        <sz val="8"/>
        <color rgb="FFFFFFFF"/>
        <rFont val="Verdana"/>
        <family val="2"/>
      </rPr>
      <t>Induction</t>
    </r>
    <r>
      <rPr>
        <sz val="12"/>
        <color theme="1"/>
        <rFont val="Verdana"/>
        <family val="2"/>
      </rPr>
      <t> </t>
    </r>
    <r>
      <rPr>
        <sz val="8"/>
        <color rgb="FFFFFFFF"/>
        <rFont val="Verdana"/>
        <family val="2"/>
      </rPr>
      <t>COST</t>
    </r>
    <r>
      <rPr>
        <sz val="12"/>
        <color theme="1"/>
        <rFont val="Verdana"/>
        <family val="2"/>
      </rPr>
      <t> </t>
    </r>
    <r>
      <rPr>
        <sz val="8"/>
        <color rgb="FFFFFFFF"/>
        <rFont val="Verdana"/>
        <family val="2"/>
      </rPr>
      <t>DIW</t>
    </r>
  </si>
  <si>
    <t>Planning and Business Support</t>
  </si>
  <si>
    <r>
      <t>Engine Bulk Strip </t>
    </r>
    <r>
      <rPr>
        <sz val="8"/>
        <color rgb="FFFFFFFF"/>
        <rFont val="Verdana"/>
        <family val="2"/>
      </rPr>
      <t>COST</t>
    </r>
    <r>
      <rPr>
        <sz val="12"/>
        <color theme="1"/>
        <rFont val="Verdana"/>
        <family val="2"/>
      </rPr>
      <t> </t>
    </r>
    <r>
      <rPr>
        <sz val="8"/>
        <color rgb="FFFFFFFF"/>
        <rFont val="Verdana"/>
        <family val="2"/>
      </rPr>
      <t>DIW</t>
    </r>
  </si>
  <si>
    <r>
      <t>6</t>
    </r>
    <r>
      <rPr>
        <sz val="8"/>
        <color rgb="FFFFFFFF"/>
        <rFont val="Verdana"/>
        <family val="2"/>
      </rPr>
      <t>GATE 1</t>
    </r>
  </si>
  <si>
    <r>
      <t>Components Sentencing </t>
    </r>
    <r>
      <rPr>
        <sz val="8"/>
        <color rgb="FFFFFFFF"/>
        <rFont val="Verdana"/>
        <family val="2"/>
      </rPr>
      <t>COST</t>
    </r>
    <r>
      <rPr>
        <sz val="12"/>
        <color theme="1"/>
        <rFont val="Verdana"/>
        <family val="2"/>
      </rPr>
      <t> </t>
    </r>
    <r>
      <rPr>
        <sz val="8"/>
        <color rgb="FFFFFFFF"/>
        <rFont val="Verdana"/>
        <family val="2"/>
      </rPr>
      <t>DIW</t>
    </r>
  </si>
  <si>
    <r>
      <t>Components Receipt at Vendor </t>
    </r>
    <r>
      <rPr>
        <sz val="8"/>
        <color rgb="FFFFFFFF"/>
        <rFont val="Verdana"/>
        <family val="2"/>
      </rPr>
      <t>COST</t>
    </r>
    <r>
      <rPr>
        <sz val="12"/>
        <color theme="1"/>
        <rFont val="Verdana"/>
        <family val="2"/>
      </rPr>
      <t> </t>
    </r>
    <r>
      <rPr>
        <sz val="8"/>
        <color rgb="FFFFFFFF"/>
        <rFont val="Verdana"/>
        <family val="2"/>
      </rPr>
      <t>DIW</t>
    </r>
  </si>
  <si>
    <t>Logistics</t>
  </si>
  <si>
    <r>
      <t>8</t>
    </r>
    <r>
      <rPr>
        <sz val="8"/>
        <color rgb="FFFFFFFF"/>
        <rFont val="Verdana"/>
        <family val="2"/>
      </rPr>
      <t>GATE 1</t>
    </r>
  </si>
  <si>
    <r>
      <t>Engine Inspection </t>
    </r>
    <r>
      <rPr>
        <sz val="8"/>
        <color rgb="FFFFFFFF"/>
        <rFont val="Verdana"/>
        <family val="2"/>
      </rPr>
      <t>COST</t>
    </r>
    <r>
      <rPr>
        <sz val="12"/>
        <color theme="1"/>
        <rFont val="Verdana"/>
        <family val="2"/>
      </rPr>
      <t> </t>
    </r>
    <r>
      <rPr>
        <sz val="8"/>
        <color rgb="FFFFFFFF"/>
        <rFont val="Verdana"/>
        <family val="2"/>
      </rPr>
      <t>DIW</t>
    </r>
  </si>
  <si>
    <r>
      <t>Module Strip </t>
    </r>
    <r>
      <rPr>
        <sz val="8"/>
        <color rgb="FFFFFFFF"/>
        <rFont val="Verdana"/>
        <family val="2"/>
      </rPr>
      <t>COST</t>
    </r>
    <r>
      <rPr>
        <sz val="12"/>
        <color theme="1"/>
        <rFont val="Verdana"/>
        <family val="2"/>
      </rPr>
      <t> </t>
    </r>
    <r>
      <rPr>
        <sz val="8"/>
        <color rgb="FFFFFFFF"/>
        <rFont val="Verdana"/>
        <family val="2"/>
      </rPr>
      <t>DIW</t>
    </r>
  </si>
  <si>
    <t>Module Repair</t>
  </si>
  <si>
    <t>9-MODULE 31</t>
  </si>
  <si>
    <t>MODULE 31 Module Strip</t>
  </si>
  <si>
    <t>9-MODULE 32</t>
  </si>
  <si>
    <t>MODULE 32 Module Strip</t>
  </si>
  <si>
    <t>9-MODULE 33</t>
  </si>
  <si>
    <t>MODULE 33 Module Strip</t>
  </si>
  <si>
    <t>9-MODULE 41</t>
  </si>
  <si>
    <t>MODULE 41 Module Strip</t>
  </si>
  <si>
    <t>9-MODULE 51</t>
  </si>
  <si>
    <t>MODULE 51 Module Strip</t>
  </si>
  <si>
    <t>9-MODULE 52</t>
  </si>
  <si>
    <t>MODULE 52 Module Strip</t>
  </si>
  <si>
    <r>
      <t>10</t>
    </r>
    <r>
      <rPr>
        <sz val="8"/>
        <color rgb="FFFFFFFF"/>
        <rFont val="Verdana"/>
        <family val="2"/>
      </rPr>
      <t>GATE 1</t>
    </r>
  </si>
  <si>
    <t>Critical Inspection</t>
  </si>
  <si>
    <t>Critical Parts Orders</t>
  </si>
  <si>
    <t>Material Management</t>
  </si>
  <si>
    <t>Overseas Receipt At Vendor</t>
  </si>
  <si>
    <r>
      <t>15</t>
    </r>
    <r>
      <rPr>
        <sz val="8"/>
        <color rgb="FFFFFFFF"/>
        <rFont val="Verdana"/>
        <family val="2"/>
      </rPr>
      <t>GATE 1</t>
    </r>
  </si>
  <si>
    <r>
      <t>Inspection </t>
    </r>
    <r>
      <rPr>
        <sz val="8"/>
        <color rgb="FFFFFFFF"/>
        <rFont val="Verdana"/>
        <family val="2"/>
      </rPr>
      <t>BLT</t>
    </r>
    <r>
      <rPr>
        <sz val="12"/>
        <color theme="1"/>
        <rFont val="Verdana"/>
        <family val="2"/>
      </rPr>
      <t> </t>
    </r>
    <r>
      <rPr>
        <sz val="8"/>
        <color rgb="FFFFFFFF"/>
        <rFont val="Verdana"/>
        <family val="2"/>
      </rPr>
      <t>COST</t>
    </r>
    <r>
      <rPr>
        <sz val="12"/>
        <color theme="1"/>
        <rFont val="Verdana"/>
        <family val="2"/>
      </rPr>
      <t> </t>
    </r>
    <r>
      <rPr>
        <sz val="8"/>
        <color rgb="FFFFFFFF"/>
        <rFont val="Verdana"/>
        <family val="2"/>
      </rPr>
      <t>DIW</t>
    </r>
  </si>
  <si>
    <t>Bench</t>
  </si>
  <si>
    <t>15-MODULE 31</t>
  </si>
  <si>
    <t>MODULE 31 Inspection</t>
  </si>
  <si>
    <t>15-MODULE 32</t>
  </si>
  <si>
    <t>MODULE 32 Inspection</t>
  </si>
  <si>
    <t>15-MODULE 33</t>
  </si>
  <si>
    <t>MODULE 33 Inspection</t>
  </si>
  <si>
    <t>15-MODULE 41</t>
  </si>
  <si>
    <t>MODULE 41 Inspection</t>
  </si>
  <si>
    <t>15-MODULE 51</t>
  </si>
  <si>
    <t>MODULE 51 Inspection</t>
  </si>
  <si>
    <t>15-MODULE 52</t>
  </si>
  <si>
    <t>MODULE 52 Inspection</t>
  </si>
  <si>
    <t>Instruct external parts supply</t>
  </si>
  <si>
    <t>Inspection (XWB HPC)</t>
  </si>
  <si>
    <t>Parts orders</t>
  </si>
  <si>
    <t>Rework Spare Clock Stop</t>
  </si>
  <si>
    <t>Customer Material Approval</t>
  </si>
  <si>
    <t>Kitting Review</t>
  </si>
  <si>
    <r>
      <t>Component Repair </t>
    </r>
    <r>
      <rPr>
        <sz val="8"/>
        <color rgb="FFFFFFFF"/>
        <rFont val="Verdana"/>
        <family val="2"/>
      </rPr>
      <t>BFS</t>
    </r>
  </si>
  <si>
    <r>
      <t>Receive orders </t>
    </r>
    <r>
      <rPr>
        <sz val="8"/>
        <color rgb="FFFFFFFF"/>
        <rFont val="Verdana"/>
        <family val="2"/>
      </rPr>
      <t>BFS</t>
    </r>
  </si>
  <si>
    <r>
      <t>Receive overseas repair - core engine parts </t>
    </r>
    <r>
      <rPr>
        <sz val="8"/>
        <color rgb="FFFFFFFF"/>
        <rFont val="Verdana"/>
        <family val="2"/>
      </rPr>
      <t>BFS</t>
    </r>
  </si>
  <si>
    <t>Core Module Parts Clock Stop</t>
  </si>
  <si>
    <r>
      <t>32</t>
    </r>
    <r>
      <rPr>
        <sz val="8"/>
        <color rgb="FFFFFFFF"/>
        <rFont val="Verdana"/>
        <family val="2"/>
      </rPr>
      <t>GATE 2</t>
    </r>
  </si>
  <si>
    <r>
      <t>Core Modules Kitted </t>
    </r>
    <r>
      <rPr>
        <sz val="8"/>
        <color rgb="FFFFFFFF"/>
        <rFont val="Verdana"/>
        <family val="2"/>
      </rPr>
      <t>BFS2</t>
    </r>
  </si>
  <si>
    <t>32-MODULE 31</t>
  </si>
  <si>
    <t>MODULE 31 Core Modules Kitted</t>
  </si>
  <si>
    <t>32-MODULE 32</t>
  </si>
  <si>
    <t>MODULE 32 Core Modules Kitted</t>
  </si>
  <si>
    <t>32-MODULE 33</t>
  </si>
  <si>
    <t>MODULE 33 Core Modules Kitted</t>
  </si>
  <si>
    <t>32-MODULE 41</t>
  </si>
  <si>
    <t>MODULE 41 Core Modules Kitted</t>
  </si>
  <si>
    <t>32-MODULE 51</t>
  </si>
  <si>
    <t>MODULE 51 Core Modules Kitted</t>
  </si>
  <si>
    <t>32-MODULE 52</t>
  </si>
  <si>
    <t>MODULE 52 Core Modules Kitted</t>
  </si>
  <si>
    <r>
      <t>Module build </t>
    </r>
    <r>
      <rPr>
        <sz val="8"/>
        <color rgb="FFFFFFFF"/>
        <rFont val="Verdana"/>
        <family val="2"/>
      </rPr>
      <t>BFS2</t>
    </r>
  </si>
  <si>
    <t>33-ENGINE MOUNT</t>
  </si>
  <si>
    <t>ENGINE MOUNT Module build</t>
  </si>
  <si>
    <t>33-MODULE 31</t>
  </si>
  <si>
    <t>MODULE 31 Module build</t>
  </si>
  <si>
    <t>33-MODULE 32</t>
  </si>
  <si>
    <t>MODULE 32 Module build</t>
  </si>
  <si>
    <t>33-MODULE 33</t>
  </si>
  <si>
    <t>MODULE 33 Module build</t>
  </si>
  <si>
    <t>33-MODULE 41</t>
  </si>
  <si>
    <t>MODULE 41 Module build</t>
  </si>
  <si>
    <t>33-MODULE 51</t>
  </si>
  <si>
    <t>MODULE 51 Module build</t>
  </si>
  <si>
    <t>33-MODULE 52</t>
  </si>
  <si>
    <t>MODULE 52 Module build</t>
  </si>
  <si>
    <t>Receive customer external parts</t>
  </si>
  <si>
    <t>Receive external parts &amp; components</t>
  </si>
  <si>
    <t>Strategic Purchasing</t>
  </si>
  <si>
    <t>NMP Spare Clock Stop</t>
  </si>
  <si>
    <r>
      <t>NMP Kitted </t>
    </r>
    <r>
      <rPr>
        <sz val="8"/>
        <color rgb="FFFFFFFF"/>
        <rFont val="Verdana"/>
        <family val="2"/>
      </rPr>
      <t>BFS2</t>
    </r>
  </si>
  <si>
    <r>
      <t>38</t>
    </r>
    <r>
      <rPr>
        <sz val="8"/>
        <color rgb="FFFFFFFF"/>
        <rFont val="Verdana"/>
        <family val="2"/>
      </rPr>
      <t>GATE 3</t>
    </r>
  </si>
  <si>
    <r>
      <t>Build Engine </t>
    </r>
    <r>
      <rPr>
        <sz val="8"/>
        <color rgb="FFFFFFFF"/>
        <rFont val="Verdana"/>
        <family val="2"/>
      </rPr>
      <t>BFS2</t>
    </r>
  </si>
  <si>
    <r>
      <t>Test </t>
    </r>
    <r>
      <rPr>
        <sz val="8"/>
        <color rgb="FFFFFFFF"/>
        <rFont val="Verdana"/>
        <family val="2"/>
      </rPr>
      <t>MST</t>
    </r>
  </si>
  <si>
    <r>
      <t>40</t>
    </r>
    <r>
      <rPr>
        <sz val="8"/>
        <color rgb="FFFFFFFF"/>
        <rFont val="Verdana"/>
        <family val="2"/>
      </rPr>
      <t>GATE 4</t>
    </r>
  </si>
  <si>
    <t>Ready For Despatch</t>
  </si>
  <si>
    <r>
      <t>41</t>
    </r>
    <r>
      <rPr>
        <sz val="8"/>
        <color rgb="FFFFFFFF"/>
        <rFont val="Verdana"/>
        <family val="2"/>
      </rPr>
      <t>GATE 5</t>
    </r>
  </si>
  <si>
    <t>Invoicing Pack</t>
  </si>
  <si>
    <t>Task_no</t>
  </si>
  <si>
    <t>Task_name</t>
  </si>
  <si>
    <t>task_owner</t>
  </si>
  <si>
    <t>finish_date</t>
  </si>
  <si>
    <t>project_complete_date</t>
  </si>
  <si>
    <t>actual_finish_date</t>
  </si>
  <si>
    <t>MST</t>
  </si>
  <si>
    <t>BFS2</t>
  </si>
  <si>
    <t>BFS</t>
  </si>
  <si>
    <t>BLT</t>
  </si>
  <si>
    <t>Induction</t>
  </si>
  <si>
    <t>flag_func</t>
  </si>
  <si>
    <t>change_DF</t>
  </si>
  <si>
    <t>change_PCD</t>
  </si>
  <si>
    <t>change_ACD</t>
  </si>
  <si>
    <t xml:space="preserve">&lt;- date change even the task disabled </t>
  </si>
  <si>
    <t>&lt;- no change if ACD is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</si>
</sst>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Verdana"/>
      <family val="2"/>
    </font>
    <font>
      <sz val="8"/>
      <color rgb="FFFFFFFF"/>
      <name val="Verdana"/>
      <family val="2"/>
    </font>
    <font>
      <sz val="11"/>
      <color theme="0"/>
      <name val="Aptos Narrow"/>
      <family val="2"/>
      <scheme val="minor"/>
    </font>
    <font>
      <b/>
      <sz val="12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E0E0E0"/>
      </top>
      <bottom/>
      <diagonal/>
    </border>
    <border>
      <left style="medium">
        <color rgb="FFE0E0E0"/>
      </left>
      <right/>
      <top style="medium">
        <color rgb="FFE0E0E0"/>
      </top>
      <bottom/>
      <diagonal/>
    </border>
    <border>
      <left/>
      <right/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0" xfId="0" applyFont="1" applyFill="1" applyAlignment="1">
      <alignment horizontal="left" vertical="center" indent="2"/>
    </xf>
    <xf numFmtId="0" fontId="1" fillId="3" borderId="1" xfId="0" applyFont="1" applyFill="1" applyBorder="1" applyAlignment="1">
      <alignment horizontal="left" vertical="center" indent="2"/>
    </xf>
    <xf numFmtId="15" fontId="1" fillId="3" borderId="1" xfId="0" applyNumberFormat="1" applyFont="1" applyFill="1" applyBorder="1" applyAlignment="1">
      <alignment horizontal="left" vertical="center" indent="2"/>
    </xf>
    <xf numFmtId="0" fontId="1" fillId="2" borderId="2" xfId="0" applyFont="1" applyFill="1" applyBorder="1" applyAlignment="1">
      <alignment horizontal="left" vertical="center" indent="2"/>
    </xf>
    <xf numFmtId="0" fontId="1" fillId="2" borderId="3" xfId="0" applyFont="1" applyFill="1" applyBorder="1" applyAlignment="1">
      <alignment horizontal="left" vertical="center" indent="2"/>
    </xf>
    <xf numFmtId="15" fontId="1" fillId="2" borderId="3" xfId="0" applyNumberFormat="1" applyFont="1" applyFill="1" applyBorder="1" applyAlignment="1">
      <alignment horizontal="left" vertical="center" indent="2"/>
    </xf>
    <xf numFmtId="0" fontId="1" fillId="4" borderId="2" xfId="0" applyFont="1" applyFill="1" applyBorder="1" applyAlignment="1">
      <alignment horizontal="left" vertical="center" indent="2"/>
    </xf>
    <xf numFmtId="0" fontId="1" fillId="4" borderId="3" xfId="0" applyFont="1" applyFill="1" applyBorder="1" applyAlignment="1">
      <alignment horizontal="left" vertical="center" indent="2"/>
    </xf>
    <xf numFmtId="15" fontId="1" fillId="4" borderId="3" xfId="0" applyNumberFormat="1" applyFont="1" applyFill="1" applyBorder="1" applyAlignment="1">
      <alignment horizontal="left" vertical="center" indent="2"/>
    </xf>
    <xf numFmtId="0" fontId="1" fillId="2" borderId="4" xfId="0" applyFont="1" applyFill="1" applyBorder="1" applyAlignment="1">
      <alignment horizontal="left" vertical="center" indent="2"/>
    </xf>
    <xf numFmtId="0" fontId="1" fillId="2" borderId="5" xfId="0" applyFont="1" applyFill="1" applyBorder="1" applyAlignment="1">
      <alignment horizontal="left" vertical="center" indent="2"/>
    </xf>
    <xf numFmtId="15" fontId="1" fillId="2" borderId="5" xfId="0" applyNumberFormat="1" applyFont="1" applyFill="1" applyBorder="1" applyAlignment="1">
      <alignment horizontal="left" vertical="center" indent="2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2" borderId="0" xfId="0" applyFont="1" applyFill="1" applyAlignment="1">
      <alignment horizontal="left" vertical="center" indent="2"/>
    </xf>
    <xf numFmtId="0" fontId="1" fillId="2" borderId="1" xfId="0" applyFont="1" applyFill="1" applyBorder="1" applyAlignment="1">
      <alignment horizontal="left" vertical="center" indent="2"/>
    </xf>
    <xf numFmtId="15" fontId="1" fillId="2" borderId="1" xfId="0" applyNumberFormat="1" applyFont="1" applyFill="1" applyBorder="1" applyAlignment="1">
      <alignment horizontal="left" vertical="center" indent="2"/>
    </xf>
    <xf numFmtId="0" fontId="0" fillId="10" borderId="0" xfId="0" applyFill="1"/>
    <xf numFmtId="0" fontId="1" fillId="10" borderId="2" xfId="0" applyFont="1" applyFill="1" applyBorder="1" applyAlignment="1">
      <alignment horizontal="left" vertical="center" indent="2"/>
    </xf>
    <xf numFmtId="0" fontId="1" fillId="10" borderId="3" xfId="0" applyFont="1" applyFill="1" applyBorder="1" applyAlignment="1">
      <alignment horizontal="left" vertical="center" indent="2"/>
    </xf>
    <xf numFmtId="15" fontId="1" fillId="10" borderId="3" xfId="0" applyNumberFormat="1" applyFont="1" applyFill="1" applyBorder="1" applyAlignment="1">
      <alignment horizontal="left" vertical="center" indent="2"/>
    </xf>
    <xf numFmtId="0" fontId="0" fillId="10" borderId="0" xfId="0" applyFill="1" applyAlignment="1">
      <alignment horizontal="center"/>
    </xf>
    <xf numFmtId="15" fontId="4" fillId="2" borderId="3" xfId="0" applyNumberFormat="1" applyFont="1" applyFill="1" applyBorder="1" applyAlignment="1">
      <alignment horizontal="left" vertical="center" indent="2"/>
    </xf>
    <xf numFmtId="15" fontId="4" fillId="4" borderId="3" xfId="0" applyNumberFormat="1" applyFont="1" applyFill="1" applyBorder="1" applyAlignment="1">
      <alignment horizontal="left" vertical="center" indent="2"/>
    </xf>
    <xf numFmtId="15" fontId="4" fillId="10" borderId="3" xfId="0" applyNumberFormat="1" applyFont="1" applyFill="1" applyBorder="1" applyAlignment="1">
      <alignment horizontal="left" vertical="center" indent="2"/>
    </xf>
    <xf numFmtId="0" fontId="1" fillId="3" borderId="2" xfId="0" applyFont="1" applyFill="1" applyBorder="1" applyAlignment="1">
      <alignment horizontal="left" vertical="center" indent="2"/>
    </xf>
    <xf numFmtId="0" fontId="1" fillId="3" borderId="3" xfId="0" applyFont="1" applyFill="1" applyBorder="1" applyAlignment="1">
      <alignment horizontal="left" vertical="center" indent="2"/>
    </xf>
    <xf numFmtId="15" fontId="1" fillId="3" borderId="3" xfId="0" applyNumberFormat="1" applyFont="1" applyFill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EA0A-2670-4414-8907-DB4AEADFE009}">
  <sheetPr codeName="Sheet1" filterMode="1"/>
  <dimension ref="A1:G58"/>
  <sheetViews>
    <sheetView workbookViewId="0">
      <selection activeCell="B71" sqref="B71"/>
    </sheetView>
  </sheetViews>
  <sheetFormatPr defaultRowHeight="15" x14ac:dyDescent="0.25"/>
  <cols>
    <col min="1" max="1" width="26.7109375" bestFit="1" customWidth="1"/>
    <col min="2" max="2" width="60.5703125" bestFit="1" customWidth="1"/>
    <col min="3" max="3" width="41.140625" bestFit="1" customWidth="1"/>
    <col min="4" max="5" width="16.28515625" bestFit="1" customWidth="1"/>
    <col min="6" max="6" width="15.85546875" bestFit="1" customWidth="1"/>
    <col min="7" max="7" width="11.28515625" style="13" customWidth="1"/>
  </cols>
  <sheetData>
    <row r="1" spans="1:7" ht="15.75" thickBot="1" x14ac:dyDescent="0.3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s="13" t="s">
        <v>109</v>
      </c>
    </row>
    <row r="2" spans="1:7" ht="15.75" hidden="1" thickBot="1" x14ac:dyDescent="0.3">
      <c r="A2" s="1">
        <v>1</v>
      </c>
      <c r="B2" s="2" t="s">
        <v>0</v>
      </c>
      <c r="C2" s="2" t="s">
        <v>1</v>
      </c>
      <c r="D2" s="3">
        <v>46089</v>
      </c>
      <c r="E2" s="3">
        <v>46089</v>
      </c>
      <c r="F2" s="2"/>
    </row>
    <row r="3" spans="1:7" ht="15.75" hidden="1" thickBot="1" x14ac:dyDescent="0.3">
      <c r="A3" s="4">
        <v>3</v>
      </c>
      <c r="B3" s="5" t="s">
        <v>2</v>
      </c>
      <c r="C3" s="5" t="s">
        <v>3</v>
      </c>
      <c r="D3" s="6">
        <v>46094</v>
      </c>
      <c r="E3" s="6">
        <v>46094</v>
      </c>
      <c r="F3" s="5"/>
    </row>
    <row r="4" spans="1:7" ht="15.75" thickBot="1" x14ac:dyDescent="0.3">
      <c r="A4" s="4">
        <v>4</v>
      </c>
      <c r="B4" s="5" t="s">
        <v>4</v>
      </c>
      <c r="C4" s="5" t="s">
        <v>5</v>
      </c>
      <c r="D4" s="6">
        <v>46096</v>
      </c>
      <c r="E4" s="6">
        <v>46096</v>
      </c>
      <c r="F4" s="6">
        <v>46096</v>
      </c>
      <c r="G4" s="18" t="s">
        <v>108</v>
      </c>
    </row>
    <row r="5" spans="1:7" ht="15.75" hidden="1" thickBot="1" x14ac:dyDescent="0.3">
      <c r="A5" s="4">
        <v>5</v>
      </c>
      <c r="B5" s="5" t="s">
        <v>6</v>
      </c>
      <c r="C5" s="5" t="s">
        <v>3</v>
      </c>
      <c r="D5" s="6">
        <v>46103</v>
      </c>
      <c r="E5" s="6">
        <v>46103</v>
      </c>
      <c r="F5" s="5"/>
    </row>
    <row r="6" spans="1:7" ht="15.75" hidden="1" thickBot="1" x14ac:dyDescent="0.3">
      <c r="A6" s="4" t="s">
        <v>7</v>
      </c>
      <c r="B6" s="5" t="s">
        <v>8</v>
      </c>
      <c r="C6" s="5" t="s">
        <v>3</v>
      </c>
      <c r="D6" s="6">
        <v>46107</v>
      </c>
      <c r="E6" s="6">
        <v>46107</v>
      </c>
      <c r="F6" s="5"/>
    </row>
    <row r="7" spans="1:7" ht="15.75" hidden="1" thickBot="1" x14ac:dyDescent="0.3">
      <c r="A7" s="4">
        <v>7</v>
      </c>
      <c r="B7" s="5" t="s">
        <v>9</v>
      </c>
      <c r="C7" s="5" t="s">
        <v>10</v>
      </c>
      <c r="D7" s="6">
        <v>46114</v>
      </c>
      <c r="E7" s="6">
        <v>46114</v>
      </c>
      <c r="F7" s="5"/>
    </row>
    <row r="8" spans="1:7" ht="15.75" hidden="1" thickBot="1" x14ac:dyDescent="0.3">
      <c r="A8" s="4" t="s">
        <v>11</v>
      </c>
      <c r="B8" s="5" t="s">
        <v>12</v>
      </c>
      <c r="C8" s="5" t="s">
        <v>3</v>
      </c>
      <c r="D8" s="6">
        <v>46109</v>
      </c>
      <c r="E8" s="6">
        <v>46109</v>
      </c>
      <c r="F8" s="5"/>
    </row>
    <row r="9" spans="1:7" ht="15.75" hidden="1" thickBot="1" x14ac:dyDescent="0.3">
      <c r="A9" s="4">
        <v>9</v>
      </c>
      <c r="B9" s="5" t="s">
        <v>13</v>
      </c>
      <c r="C9" s="5" t="s">
        <v>14</v>
      </c>
      <c r="D9" s="6">
        <v>46109</v>
      </c>
      <c r="E9" s="6">
        <v>46109</v>
      </c>
      <c r="F9" s="5"/>
    </row>
    <row r="10" spans="1:7" ht="15.75" hidden="1" thickBot="1" x14ac:dyDescent="0.3">
      <c r="A10" s="4" t="s">
        <v>15</v>
      </c>
      <c r="B10" s="5" t="s">
        <v>16</v>
      </c>
      <c r="C10" s="5" t="s">
        <v>14</v>
      </c>
      <c r="D10" s="6">
        <v>46109</v>
      </c>
      <c r="E10" s="6">
        <v>46109</v>
      </c>
      <c r="F10" s="5"/>
    </row>
    <row r="11" spans="1:7" ht="15.75" hidden="1" thickBot="1" x14ac:dyDescent="0.3">
      <c r="A11" s="4" t="s">
        <v>17</v>
      </c>
      <c r="B11" s="5" t="s">
        <v>18</v>
      </c>
      <c r="C11" s="5" t="s">
        <v>14</v>
      </c>
      <c r="D11" s="6">
        <v>46109</v>
      </c>
      <c r="E11" s="6">
        <v>46109</v>
      </c>
      <c r="F11" s="5"/>
    </row>
    <row r="12" spans="1:7" ht="15.75" hidden="1" thickBot="1" x14ac:dyDescent="0.3">
      <c r="A12" s="4" t="s">
        <v>19</v>
      </c>
      <c r="B12" s="5" t="s">
        <v>20</v>
      </c>
      <c r="C12" s="5" t="s">
        <v>14</v>
      </c>
      <c r="D12" s="6">
        <v>46109</v>
      </c>
      <c r="E12" s="6">
        <v>46109</v>
      </c>
      <c r="F12" s="5"/>
    </row>
    <row r="13" spans="1:7" ht="15.75" hidden="1" thickBot="1" x14ac:dyDescent="0.3">
      <c r="A13" s="4" t="s">
        <v>21</v>
      </c>
      <c r="B13" s="5" t="s">
        <v>22</v>
      </c>
      <c r="C13" s="5" t="s">
        <v>14</v>
      </c>
      <c r="D13" s="6">
        <v>46109</v>
      </c>
      <c r="E13" s="6">
        <v>46109</v>
      </c>
      <c r="F13" s="5"/>
    </row>
    <row r="14" spans="1:7" ht="15.75" hidden="1" thickBot="1" x14ac:dyDescent="0.3">
      <c r="A14" s="4" t="s">
        <v>23</v>
      </c>
      <c r="B14" s="5" t="s">
        <v>24</v>
      </c>
      <c r="C14" s="5" t="s">
        <v>14</v>
      </c>
      <c r="D14" s="6">
        <v>46109</v>
      </c>
      <c r="E14" s="6">
        <v>46109</v>
      </c>
      <c r="F14" s="5"/>
    </row>
    <row r="15" spans="1:7" ht="15.75" hidden="1" thickBot="1" x14ac:dyDescent="0.3">
      <c r="A15" s="4" t="s">
        <v>25</v>
      </c>
      <c r="B15" s="5" t="s">
        <v>26</v>
      </c>
      <c r="C15" s="5" t="s">
        <v>14</v>
      </c>
      <c r="D15" s="6">
        <v>46109</v>
      </c>
      <c r="E15" s="6">
        <v>46109</v>
      </c>
      <c r="F15" s="5"/>
    </row>
    <row r="16" spans="1:7" ht="15.75" hidden="1" thickBot="1" x14ac:dyDescent="0.3">
      <c r="A16" s="4" t="s">
        <v>27</v>
      </c>
      <c r="B16" s="5" t="s">
        <v>28</v>
      </c>
      <c r="C16" s="5" t="s">
        <v>14</v>
      </c>
      <c r="D16" s="6">
        <v>46108</v>
      </c>
      <c r="E16" s="6">
        <v>46108</v>
      </c>
      <c r="F16" s="5"/>
    </row>
    <row r="17" spans="1:7" ht="15.75" hidden="1" thickBot="1" x14ac:dyDescent="0.3">
      <c r="A17" s="4">
        <v>13</v>
      </c>
      <c r="B17" s="5" t="s">
        <v>29</v>
      </c>
      <c r="C17" s="5" t="s">
        <v>30</v>
      </c>
      <c r="D17" s="6">
        <v>46109</v>
      </c>
      <c r="E17" s="6">
        <v>46109</v>
      </c>
      <c r="F17" s="5"/>
    </row>
    <row r="18" spans="1:7" ht="15.75" hidden="1" thickBot="1" x14ac:dyDescent="0.3">
      <c r="A18" s="4">
        <v>14</v>
      </c>
      <c r="B18" s="5" t="s">
        <v>31</v>
      </c>
      <c r="C18" s="5" t="s">
        <v>10</v>
      </c>
      <c r="D18" s="6">
        <v>46115</v>
      </c>
      <c r="E18" s="6">
        <v>46115</v>
      </c>
      <c r="F18" s="5"/>
    </row>
    <row r="19" spans="1:7" ht="15.75" thickBot="1" x14ac:dyDescent="0.3">
      <c r="A19" s="4" t="s">
        <v>32</v>
      </c>
      <c r="B19" s="5" t="s">
        <v>33</v>
      </c>
      <c r="C19" s="5" t="s">
        <v>34</v>
      </c>
      <c r="D19" s="6">
        <v>46108</v>
      </c>
      <c r="E19" s="6">
        <v>46108</v>
      </c>
      <c r="F19" s="5"/>
      <c r="G19" s="17" t="s">
        <v>107</v>
      </c>
    </row>
    <row r="20" spans="1:7" ht="15.75" hidden="1" thickBot="1" x14ac:dyDescent="0.3">
      <c r="A20" s="4" t="s">
        <v>35</v>
      </c>
      <c r="B20" s="5" t="s">
        <v>36</v>
      </c>
      <c r="C20" s="5" t="s">
        <v>34</v>
      </c>
      <c r="D20" s="6">
        <v>46108</v>
      </c>
      <c r="E20" s="6">
        <v>46108</v>
      </c>
      <c r="F20" s="5"/>
    </row>
    <row r="21" spans="1:7" ht="15.75" hidden="1" thickBot="1" x14ac:dyDescent="0.3">
      <c r="A21" s="4" t="s">
        <v>37</v>
      </c>
      <c r="B21" s="5" t="s">
        <v>38</v>
      </c>
      <c r="C21" s="5" t="s">
        <v>34</v>
      </c>
      <c r="D21" s="6">
        <v>46108</v>
      </c>
      <c r="E21" s="6">
        <v>46108</v>
      </c>
      <c r="F21" s="5"/>
    </row>
    <row r="22" spans="1:7" ht="15.75" hidden="1" thickBot="1" x14ac:dyDescent="0.3">
      <c r="A22" s="4" t="s">
        <v>39</v>
      </c>
      <c r="B22" s="5" t="s">
        <v>40</v>
      </c>
      <c r="C22" s="5" t="s">
        <v>34</v>
      </c>
      <c r="D22" s="6">
        <v>46108</v>
      </c>
      <c r="E22" s="6">
        <v>46108</v>
      </c>
      <c r="F22" s="5"/>
    </row>
    <row r="23" spans="1:7" ht="15.75" hidden="1" thickBot="1" x14ac:dyDescent="0.3">
      <c r="A23" s="4" t="s">
        <v>41</v>
      </c>
      <c r="B23" s="5" t="s">
        <v>42</v>
      </c>
      <c r="C23" s="5" t="s">
        <v>34</v>
      </c>
      <c r="D23" s="6">
        <v>46108</v>
      </c>
      <c r="E23" s="6">
        <v>46108</v>
      </c>
      <c r="F23" s="5"/>
    </row>
    <row r="24" spans="1:7" ht="15.75" hidden="1" thickBot="1" x14ac:dyDescent="0.3">
      <c r="A24" s="4" t="s">
        <v>43</v>
      </c>
      <c r="B24" s="5" t="s">
        <v>44</v>
      </c>
      <c r="C24" s="5" t="s">
        <v>34</v>
      </c>
      <c r="D24" s="6">
        <v>46108</v>
      </c>
      <c r="E24" s="6">
        <v>46108</v>
      </c>
      <c r="F24" s="5"/>
    </row>
    <row r="25" spans="1:7" ht="15.75" hidden="1" thickBot="1" x14ac:dyDescent="0.3">
      <c r="A25" s="4" t="s">
        <v>45</v>
      </c>
      <c r="B25" s="5" t="s">
        <v>46</v>
      </c>
      <c r="C25" s="5" t="s">
        <v>34</v>
      </c>
      <c r="D25" s="6">
        <v>46108</v>
      </c>
      <c r="E25" s="6">
        <v>46108</v>
      </c>
      <c r="F25" s="5"/>
    </row>
    <row r="26" spans="1:7" ht="15.75" hidden="1" thickBot="1" x14ac:dyDescent="0.3">
      <c r="A26" s="4">
        <v>17</v>
      </c>
      <c r="B26" s="5" t="s">
        <v>47</v>
      </c>
      <c r="C26" s="5" t="s">
        <v>1</v>
      </c>
      <c r="D26" s="6">
        <v>46104</v>
      </c>
      <c r="E26" s="6">
        <v>46104</v>
      </c>
      <c r="F26" s="5"/>
    </row>
    <row r="27" spans="1:7" ht="15.75" hidden="1" thickBot="1" x14ac:dyDescent="0.3">
      <c r="A27" s="4">
        <v>18</v>
      </c>
      <c r="B27" s="5" t="s">
        <v>48</v>
      </c>
      <c r="C27" s="5" t="s">
        <v>34</v>
      </c>
      <c r="D27" s="6">
        <v>46113</v>
      </c>
      <c r="E27" s="6">
        <v>46113</v>
      </c>
      <c r="F27" s="5"/>
    </row>
    <row r="28" spans="1:7" ht="15.75" hidden="1" thickBot="1" x14ac:dyDescent="0.3">
      <c r="A28" s="4">
        <v>19</v>
      </c>
      <c r="B28" s="5" t="s">
        <v>49</v>
      </c>
      <c r="C28" s="5" t="s">
        <v>30</v>
      </c>
      <c r="D28" s="6">
        <v>46114</v>
      </c>
      <c r="E28" s="6">
        <v>46114</v>
      </c>
      <c r="F28" s="5"/>
    </row>
    <row r="29" spans="1:7" ht="15.75" hidden="1" thickBot="1" x14ac:dyDescent="0.3">
      <c r="A29" s="4">
        <v>20</v>
      </c>
      <c r="B29" s="5" t="s">
        <v>50</v>
      </c>
      <c r="C29" s="5" t="s">
        <v>30</v>
      </c>
      <c r="D29" s="6">
        <v>46118</v>
      </c>
      <c r="E29" s="6">
        <v>46118</v>
      </c>
      <c r="F29" s="5"/>
    </row>
    <row r="30" spans="1:7" ht="15.75" hidden="1" thickBot="1" x14ac:dyDescent="0.3">
      <c r="A30" s="4">
        <v>23</v>
      </c>
      <c r="B30" s="5" t="s">
        <v>51</v>
      </c>
      <c r="C30" s="5" t="s">
        <v>1</v>
      </c>
      <c r="D30" s="6">
        <v>46124</v>
      </c>
      <c r="E30" s="6">
        <v>46124</v>
      </c>
      <c r="F30" s="5"/>
    </row>
    <row r="31" spans="1:7" ht="15.75" hidden="1" thickBot="1" x14ac:dyDescent="0.3">
      <c r="A31" s="4">
        <v>27</v>
      </c>
      <c r="B31" s="5" t="s">
        <v>52</v>
      </c>
      <c r="C31" s="5" t="s">
        <v>30</v>
      </c>
      <c r="D31" s="6">
        <v>46137</v>
      </c>
      <c r="E31" s="6">
        <v>46137</v>
      </c>
      <c r="F31" s="5"/>
    </row>
    <row r="32" spans="1:7" ht="15.75" thickBot="1" x14ac:dyDescent="0.3">
      <c r="A32" s="4">
        <v>28</v>
      </c>
      <c r="B32" s="5" t="s">
        <v>53</v>
      </c>
      <c r="C32" s="5" t="s">
        <v>30</v>
      </c>
      <c r="D32" s="6">
        <v>46145</v>
      </c>
      <c r="E32" s="6">
        <v>46145</v>
      </c>
      <c r="F32" s="5"/>
      <c r="G32" s="15" t="s">
        <v>106</v>
      </c>
    </row>
    <row r="33" spans="1:7" ht="15.75" thickBot="1" x14ac:dyDescent="0.3">
      <c r="A33" s="4">
        <v>29</v>
      </c>
      <c r="B33" s="5" t="s">
        <v>54</v>
      </c>
      <c r="C33" s="5" t="s">
        <v>30</v>
      </c>
      <c r="D33" s="6">
        <v>46145</v>
      </c>
      <c r="E33" s="6">
        <v>46145</v>
      </c>
      <c r="F33" s="5"/>
      <c r="G33" s="15" t="s">
        <v>106</v>
      </c>
    </row>
    <row r="34" spans="1:7" ht="15.75" thickBot="1" x14ac:dyDescent="0.3">
      <c r="A34" s="4">
        <v>30</v>
      </c>
      <c r="B34" s="5" t="s">
        <v>55</v>
      </c>
      <c r="C34" s="5" t="s">
        <v>30</v>
      </c>
      <c r="D34" s="6">
        <v>46141</v>
      </c>
      <c r="E34" s="6">
        <v>46141</v>
      </c>
      <c r="F34" s="5"/>
      <c r="G34" s="15" t="s">
        <v>106</v>
      </c>
    </row>
    <row r="35" spans="1:7" ht="15.75" hidden="1" thickBot="1" x14ac:dyDescent="0.3">
      <c r="A35" s="4">
        <v>31</v>
      </c>
      <c r="B35" s="5" t="s">
        <v>56</v>
      </c>
      <c r="C35" s="5" t="s">
        <v>30</v>
      </c>
      <c r="D35" s="6">
        <v>46143</v>
      </c>
      <c r="E35" s="6">
        <v>46143</v>
      </c>
      <c r="F35" s="5"/>
    </row>
    <row r="36" spans="1:7" ht="15.75" thickBot="1" x14ac:dyDescent="0.3">
      <c r="A36" s="4" t="s">
        <v>57</v>
      </c>
      <c r="B36" s="5" t="s">
        <v>58</v>
      </c>
      <c r="C36" s="5" t="s">
        <v>30</v>
      </c>
      <c r="D36" s="6">
        <v>46143</v>
      </c>
      <c r="E36" s="6">
        <v>46139</v>
      </c>
      <c r="F36" s="5"/>
      <c r="G36" s="14" t="s">
        <v>105</v>
      </c>
    </row>
    <row r="37" spans="1:7" ht="15.75" hidden="1" thickBot="1" x14ac:dyDescent="0.3">
      <c r="A37" s="4" t="s">
        <v>59</v>
      </c>
      <c r="B37" s="5" t="s">
        <v>60</v>
      </c>
      <c r="C37" s="5" t="s">
        <v>30</v>
      </c>
      <c r="D37" s="6">
        <v>46139</v>
      </c>
      <c r="E37" s="6">
        <v>46139</v>
      </c>
      <c r="F37" s="5"/>
    </row>
    <row r="38" spans="1:7" ht="15.75" hidden="1" thickBot="1" x14ac:dyDescent="0.3">
      <c r="A38" s="4" t="s">
        <v>61</v>
      </c>
      <c r="B38" s="5" t="s">
        <v>62</v>
      </c>
      <c r="C38" s="5" t="s">
        <v>30</v>
      </c>
      <c r="D38" s="6">
        <v>46139</v>
      </c>
      <c r="E38" s="6">
        <v>46139</v>
      </c>
      <c r="F38" s="5"/>
    </row>
    <row r="39" spans="1:7" ht="15.75" hidden="1" thickBot="1" x14ac:dyDescent="0.3">
      <c r="A39" s="4" t="s">
        <v>63</v>
      </c>
      <c r="B39" s="5" t="s">
        <v>64</v>
      </c>
      <c r="C39" s="5" t="s">
        <v>30</v>
      </c>
      <c r="D39" s="6">
        <v>46139</v>
      </c>
      <c r="E39" s="6">
        <v>46139</v>
      </c>
      <c r="F39" s="5"/>
    </row>
    <row r="40" spans="1:7" ht="15.75" hidden="1" thickBot="1" x14ac:dyDescent="0.3">
      <c r="A40" s="4" t="s">
        <v>65</v>
      </c>
      <c r="B40" s="5" t="s">
        <v>66</v>
      </c>
      <c r="C40" s="5" t="s">
        <v>30</v>
      </c>
      <c r="D40" s="6">
        <v>46139</v>
      </c>
      <c r="E40" s="6">
        <v>46139</v>
      </c>
      <c r="F40" s="5"/>
    </row>
    <row r="41" spans="1:7" ht="15.75" hidden="1" thickBot="1" x14ac:dyDescent="0.3">
      <c r="A41" s="4" t="s">
        <v>67</v>
      </c>
      <c r="B41" s="5" t="s">
        <v>68</v>
      </c>
      <c r="C41" s="5" t="s">
        <v>30</v>
      </c>
      <c r="D41" s="6">
        <v>46139</v>
      </c>
      <c r="E41" s="6">
        <v>46139</v>
      </c>
      <c r="F41" s="5"/>
    </row>
    <row r="42" spans="1:7" ht="15.75" hidden="1" thickBot="1" x14ac:dyDescent="0.3">
      <c r="A42" s="4" t="s">
        <v>69</v>
      </c>
      <c r="B42" s="5" t="s">
        <v>70</v>
      </c>
      <c r="C42" s="5" t="s">
        <v>30</v>
      </c>
      <c r="D42" s="6">
        <v>46139</v>
      </c>
      <c r="E42" s="6">
        <v>46139</v>
      </c>
      <c r="F42" s="5"/>
    </row>
    <row r="43" spans="1:7" ht="15.75" thickBot="1" x14ac:dyDescent="0.3">
      <c r="A43" s="4">
        <v>33</v>
      </c>
      <c r="B43" s="5" t="s">
        <v>71</v>
      </c>
      <c r="C43" s="5" t="s">
        <v>14</v>
      </c>
      <c r="D43" s="6">
        <v>46149</v>
      </c>
      <c r="E43" s="6">
        <v>46147</v>
      </c>
      <c r="F43" s="5"/>
      <c r="G43" s="14" t="s">
        <v>105</v>
      </c>
    </row>
    <row r="44" spans="1:7" ht="15.75" hidden="1" thickBot="1" x14ac:dyDescent="0.3">
      <c r="A44" s="7" t="s">
        <v>72</v>
      </c>
      <c r="B44" s="8" t="s">
        <v>73</v>
      </c>
      <c r="C44" s="8" t="s">
        <v>14</v>
      </c>
      <c r="D44" s="9">
        <v>46147</v>
      </c>
      <c r="E44" s="9">
        <v>46147</v>
      </c>
      <c r="F44" s="8"/>
    </row>
    <row r="45" spans="1:7" ht="15.75" hidden="1" thickBot="1" x14ac:dyDescent="0.3">
      <c r="A45" s="4" t="s">
        <v>74</v>
      </c>
      <c r="B45" s="5" t="s">
        <v>75</v>
      </c>
      <c r="C45" s="5" t="s">
        <v>14</v>
      </c>
      <c r="D45" s="6">
        <v>46147</v>
      </c>
      <c r="E45" s="6">
        <v>46147</v>
      </c>
      <c r="F45" s="5"/>
    </row>
    <row r="46" spans="1:7" ht="15.75" hidden="1" thickBot="1" x14ac:dyDescent="0.3">
      <c r="A46" s="4" t="s">
        <v>76</v>
      </c>
      <c r="B46" s="5" t="s">
        <v>77</v>
      </c>
      <c r="C46" s="5" t="s">
        <v>14</v>
      </c>
      <c r="D46" s="6">
        <v>46147</v>
      </c>
      <c r="E46" s="6">
        <v>46147</v>
      </c>
      <c r="F46" s="5"/>
    </row>
    <row r="47" spans="1:7" ht="15.75" hidden="1" thickBot="1" x14ac:dyDescent="0.3">
      <c r="A47" s="4" t="s">
        <v>78</v>
      </c>
      <c r="B47" s="5" t="s">
        <v>79</v>
      </c>
      <c r="C47" s="5" t="s">
        <v>14</v>
      </c>
      <c r="D47" s="6">
        <v>46147</v>
      </c>
      <c r="E47" s="6">
        <v>46147</v>
      </c>
      <c r="F47" s="5"/>
    </row>
    <row r="48" spans="1:7" ht="15.75" hidden="1" thickBot="1" x14ac:dyDescent="0.3">
      <c r="A48" s="4" t="s">
        <v>80</v>
      </c>
      <c r="B48" s="5" t="s">
        <v>81</v>
      </c>
      <c r="C48" s="5" t="s">
        <v>14</v>
      </c>
      <c r="D48" s="6">
        <v>46147</v>
      </c>
      <c r="E48" s="6">
        <v>46147</v>
      </c>
      <c r="F48" s="5"/>
    </row>
    <row r="49" spans="1:7" ht="15.75" hidden="1" thickBot="1" x14ac:dyDescent="0.3">
      <c r="A49" s="4" t="s">
        <v>82</v>
      </c>
      <c r="B49" s="5" t="s">
        <v>83</v>
      </c>
      <c r="C49" s="5" t="s">
        <v>14</v>
      </c>
      <c r="D49" s="6">
        <v>46147</v>
      </c>
      <c r="E49" s="6">
        <v>46147</v>
      </c>
      <c r="F49" s="5"/>
    </row>
    <row r="50" spans="1:7" ht="15.75" hidden="1" thickBot="1" x14ac:dyDescent="0.3">
      <c r="A50" s="4" t="s">
        <v>84</v>
      </c>
      <c r="B50" s="5" t="s">
        <v>85</v>
      </c>
      <c r="C50" s="5" t="s">
        <v>14</v>
      </c>
      <c r="D50" s="6">
        <v>46147</v>
      </c>
      <c r="E50" s="6">
        <v>46147</v>
      </c>
      <c r="F50" s="5"/>
    </row>
    <row r="51" spans="1:7" ht="15.75" hidden="1" thickBot="1" x14ac:dyDescent="0.3">
      <c r="A51" s="4">
        <v>34</v>
      </c>
      <c r="B51" s="5" t="s">
        <v>86</v>
      </c>
      <c r="C51" s="5" t="s">
        <v>1</v>
      </c>
      <c r="D51" s="6">
        <v>46156</v>
      </c>
      <c r="E51" s="6">
        <v>46156</v>
      </c>
      <c r="F51" s="5"/>
    </row>
    <row r="52" spans="1:7" ht="15.75" hidden="1" thickBot="1" x14ac:dyDescent="0.3">
      <c r="A52" s="4">
        <v>35</v>
      </c>
      <c r="B52" s="5" t="s">
        <v>87</v>
      </c>
      <c r="C52" s="5" t="s">
        <v>88</v>
      </c>
      <c r="D52" s="6">
        <v>46156</v>
      </c>
      <c r="E52" s="6">
        <v>46172</v>
      </c>
      <c r="F52" s="6">
        <v>46128</v>
      </c>
    </row>
    <row r="53" spans="1:7" ht="15.75" hidden="1" thickBot="1" x14ac:dyDescent="0.3">
      <c r="A53" s="4">
        <v>36</v>
      </c>
      <c r="B53" s="5" t="s">
        <v>89</v>
      </c>
      <c r="C53" s="5" t="s">
        <v>30</v>
      </c>
      <c r="D53" s="6">
        <v>46154</v>
      </c>
      <c r="E53" s="6">
        <v>46154</v>
      </c>
      <c r="F53" s="5"/>
    </row>
    <row r="54" spans="1:7" ht="15.75" thickBot="1" x14ac:dyDescent="0.3">
      <c r="A54" s="4">
        <v>37</v>
      </c>
      <c r="B54" s="5" t="s">
        <v>90</v>
      </c>
      <c r="C54" s="5" t="s">
        <v>30</v>
      </c>
      <c r="D54" s="6">
        <v>46156</v>
      </c>
      <c r="E54" s="6">
        <v>46156</v>
      </c>
      <c r="F54" s="5"/>
      <c r="G54" s="14" t="s">
        <v>105</v>
      </c>
    </row>
    <row r="55" spans="1:7" ht="15.75" thickBot="1" x14ac:dyDescent="0.3">
      <c r="A55" s="4" t="s">
        <v>91</v>
      </c>
      <c r="B55" s="5" t="s">
        <v>92</v>
      </c>
      <c r="C55" s="5" t="s">
        <v>3</v>
      </c>
      <c r="D55" s="6">
        <v>46165</v>
      </c>
      <c r="E55" s="6">
        <v>46165</v>
      </c>
      <c r="F55" s="5"/>
      <c r="G55" s="14" t="s">
        <v>105</v>
      </c>
    </row>
    <row r="56" spans="1:7" x14ac:dyDescent="0.25">
      <c r="A56" s="4">
        <v>39</v>
      </c>
      <c r="B56" s="5" t="s">
        <v>93</v>
      </c>
      <c r="C56" s="5" t="s">
        <v>3</v>
      </c>
      <c r="D56" s="6">
        <v>46167</v>
      </c>
      <c r="E56" s="6">
        <v>46167</v>
      </c>
      <c r="F56" s="5"/>
      <c r="G56" s="16" t="s">
        <v>104</v>
      </c>
    </row>
    <row r="57" spans="1:7" hidden="1" x14ac:dyDescent="0.25">
      <c r="A57" s="4" t="s">
        <v>94</v>
      </c>
      <c r="B57" s="5" t="s">
        <v>95</v>
      </c>
      <c r="C57" s="5" t="s">
        <v>3</v>
      </c>
      <c r="D57" s="6">
        <v>46171</v>
      </c>
      <c r="E57" s="6">
        <v>46171</v>
      </c>
      <c r="F57" s="5"/>
    </row>
    <row r="58" spans="1:7" ht="15.75" hidden="1" thickBot="1" x14ac:dyDescent="0.3">
      <c r="A58" s="10" t="s">
        <v>96</v>
      </c>
      <c r="B58" s="11" t="s">
        <v>97</v>
      </c>
      <c r="C58" s="11" t="s">
        <v>5</v>
      </c>
      <c r="D58" s="12">
        <v>46096</v>
      </c>
      <c r="E58" s="12">
        <v>46096</v>
      </c>
      <c r="F58" s="11"/>
    </row>
  </sheetData>
  <autoFilter ref="A1:G58" xr:uid="{7971EA0A-2670-4414-8907-DB4AEADFE009}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FDFD-1E0B-475B-B19D-CB053650987F}">
  <sheetPr codeName="Sheet2"/>
  <dimension ref="A1:J58"/>
  <sheetViews>
    <sheetView workbookViewId="0">
      <pane ySplit="1" topLeftCell="A30" activePane="bottomLeft" state="frozen"/>
      <selection pane="bottomLeft" activeCell="A60" sqref="A60"/>
    </sheetView>
  </sheetViews>
  <sheetFormatPr defaultRowHeight="15" x14ac:dyDescent="0.25"/>
  <cols>
    <col min="1" max="1" width="26.7109375" bestFit="1" customWidth="1"/>
    <col min="2" max="2" width="60.5703125" bestFit="1" customWidth="1"/>
    <col min="3" max="3" width="41.140625" bestFit="1" customWidth="1"/>
    <col min="4" max="5" width="16.28515625" bestFit="1" customWidth="1"/>
    <col min="6" max="6" width="15.85546875" bestFit="1" customWidth="1"/>
    <col min="7" max="7" width="11.28515625" style="13" customWidth="1"/>
    <col min="8" max="8" width="10.5703125" bestFit="1" customWidth="1"/>
    <col min="9" max="10" width="11.85546875" bestFit="1" customWidth="1"/>
  </cols>
  <sheetData>
    <row r="1" spans="1:10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s="13" t="s">
        <v>109</v>
      </c>
      <c r="H1" t="s">
        <v>110</v>
      </c>
      <c r="I1" t="s">
        <v>111</v>
      </c>
      <c r="J1" t="s">
        <v>112</v>
      </c>
    </row>
    <row r="2" spans="1:10" ht="15.75" thickBot="1" x14ac:dyDescent="0.3">
      <c r="A2" s="19">
        <v>1</v>
      </c>
      <c r="B2" s="20" t="s">
        <v>0</v>
      </c>
      <c r="C2" s="20" t="s">
        <v>1</v>
      </c>
      <c r="D2" s="21">
        <v>46089</v>
      </c>
      <c r="E2" s="21">
        <v>46089</v>
      </c>
      <c r="F2" s="20"/>
      <c r="H2">
        <f>D2-VLOOKUP(A2,'26035'!A:F,4,0)</f>
        <v>0</v>
      </c>
      <c r="I2">
        <f>E2-VLOOKUP(A2,'26035'!A:F,5,0)</f>
        <v>0</v>
      </c>
      <c r="J2">
        <f>F2-VLOOKUP(A2,'26035'!A:F,6,0)</f>
        <v>0</v>
      </c>
    </row>
    <row r="3" spans="1:10" ht="15.75" thickBot="1" x14ac:dyDescent="0.3">
      <c r="A3" s="4">
        <v>3</v>
      </c>
      <c r="B3" s="5" t="s">
        <v>2</v>
      </c>
      <c r="C3" s="5" t="s">
        <v>3</v>
      </c>
      <c r="D3" s="6">
        <v>46094</v>
      </c>
      <c r="E3" s="6">
        <v>46094</v>
      </c>
      <c r="F3" s="5"/>
      <c r="H3">
        <f>D3-VLOOKUP(A3,'26035'!A:F,4,0)</f>
        <v>0</v>
      </c>
      <c r="I3">
        <f>E3-VLOOKUP(A3,'26035'!A:F,5,0)</f>
        <v>0</v>
      </c>
      <c r="J3">
        <f>F3-VLOOKUP(A3,'26035'!A:F,6,0)</f>
        <v>0</v>
      </c>
    </row>
    <row r="4" spans="1:10" ht="15.75" thickBot="1" x14ac:dyDescent="0.3">
      <c r="A4" s="4">
        <v>4</v>
      </c>
      <c r="B4" s="5" t="s">
        <v>4</v>
      </c>
      <c r="C4" s="5" t="s">
        <v>5</v>
      </c>
      <c r="D4" s="6">
        <v>46096</v>
      </c>
      <c r="E4" s="6">
        <v>46096</v>
      </c>
      <c r="F4" s="6">
        <v>46096</v>
      </c>
      <c r="G4" s="18" t="s">
        <v>108</v>
      </c>
      <c r="H4">
        <f>D4-VLOOKUP(A4,'26035'!A:F,4,0)</f>
        <v>0</v>
      </c>
      <c r="I4">
        <f>E4-VLOOKUP(A4,'26035'!A:F,5,0)</f>
        <v>0</v>
      </c>
      <c r="J4">
        <f>F4-VLOOKUP(A4,'26035'!A:F,6,0)</f>
        <v>0</v>
      </c>
    </row>
    <row r="5" spans="1:10" ht="15.75" thickBot="1" x14ac:dyDescent="0.3">
      <c r="A5" s="4">
        <v>5</v>
      </c>
      <c r="B5" s="5" t="s">
        <v>6</v>
      </c>
      <c r="C5" s="5" t="s">
        <v>3</v>
      </c>
      <c r="D5" s="6">
        <v>46103</v>
      </c>
      <c r="E5" s="6">
        <v>46103</v>
      </c>
      <c r="F5" s="5"/>
      <c r="H5">
        <f>D5-VLOOKUP(A5,'26035'!A:F,4,0)</f>
        <v>0</v>
      </c>
      <c r="I5">
        <f>E5-VLOOKUP(A5,'26035'!A:F,5,0)</f>
        <v>0</v>
      </c>
      <c r="J5">
        <f>F5-VLOOKUP(A5,'26035'!A:F,6,0)</f>
        <v>0</v>
      </c>
    </row>
    <row r="6" spans="1:10" ht="15.75" thickBot="1" x14ac:dyDescent="0.3">
      <c r="A6" s="4" t="s">
        <v>7</v>
      </c>
      <c r="B6" s="5" t="s">
        <v>8</v>
      </c>
      <c r="C6" s="5" t="s">
        <v>3</v>
      </c>
      <c r="D6" s="6">
        <v>46107</v>
      </c>
      <c r="E6" s="6">
        <v>46107</v>
      </c>
      <c r="F6" s="5"/>
      <c r="H6">
        <f>D6-VLOOKUP(A6,'26035'!A:F,4,0)</f>
        <v>0</v>
      </c>
      <c r="I6">
        <f>E6-VLOOKUP(A6,'26035'!A:F,5,0)</f>
        <v>0</v>
      </c>
      <c r="J6">
        <f>F6-VLOOKUP(A6,'26035'!A:F,6,0)</f>
        <v>0</v>
      </c>
    </row>
    <row r="7" spans="1:10" ht="15.75" thickBot="1" x14ac:dyDescent="0.3">
      <c r="A7" s="4">
        <v>7</v>
      </c>
      <c r="B7" s="5" t="s">
        <v>9</v>
      </c>
      <c r="C7" s="5" t="s">
        <v>10</v>
      </c>
      <c r="D7" s="6">
        <v>46114</v>
      </c>
      <c r="E7" s="6">
        <v>46114</v>
      </c>
      <c r="F7" s="5"/>
      <c r="H7">
        <f>D7-VLOOKUP(A7,'26035'!A:F,4,0)</f>
        <v>0</v>
      </c>
      <c r="I7">
        <f>E7-VLOOKUP(A7,'26035'!A:F,5,0)</f>
        <v>0</v>
      </c>
      <c r="J7">
        <f>F7-VLOOKUP(A7,'26035'!A:F,6,0)</f>
        <v>0</v>
      </c>
    </row>
    <row r="8" spans="1:10" ht="15.75" thickBot="1" x14ac:dyDescent="0.3">
      <c r="A8" s="4" t="s">
        <v>11</v>
      </c>
      <c r="B8" s="5" t="s">
        <v>12</v>
      </c>
      <c r="C8" s="5" t="s">
        <v>3</v>
      </c>
      <c r="D8" s="6">
        <v>46109</v>
      </c>
      <c r="E8" s="6">
        <v>46109</v>
      </c>
      <c r="F8" s="5"/>
      <c r="H8">
        <f>D8-VLOOKUP(A8,'26035'!A:F,4,0)</f>
        <v>0</v>
      </c>
      <c r="I8">
        <f>E8-VLOOKUP(A8,'26035'!A:F,5,0)</f>
        <v>0</v>
      </c>
      <c r="J8">
        <f>F8-VLOOKUP(A8,'26035'!A:F,6,0)</f>
        <v>0</v>
      </c>
    </row>
    <row r="9" spans="1:10" ht="15.75" thickBot="1" x14ac:dyDescent="0.3">
      <c r="A9" s="4">
        <v>9</v>
      </c>
      <c r="B9" s="5" t="s">
        <v>13</v>
      </c>
      <c r="C9" s="5" t="s">
        <v>14</v>
      </c>
      <c r="D9" s="6">
        <v>46109</v>
      </c>
      <c r="E9" s="6">
        <v>46109</v>
      </c>
      <c r="F9" s="5"/>
      <c r="H9">
        <f>D9-VLOOKUP(A9,'26035'!A:F,4,0)</f>
        <v>0</v>
      </c>
      <c r="I9">
        <f>E9-VLOOKUP(A9,'26035'!A:F,5,0)</f>
        <v>0</v>
      </c>
      <c r="J9">
        <f>F9-VLOOKUP(A9,'26035'!A:F,6,0)</f>
        <v>0</v>
      </c>
    </row>
    <row r="10" spans="1:10" ht="15.75" thickBot="1" x14ac:dyDescent="0.3">
      <c r="A10" s="4" t="s">
        <v>15</v>
      </c>
      <c r="B10" s="5" t="s">
        <v>16</v>
      </c>
      <c r="C10" s="5" t="s">
        <v>14</v>
      </c>
      <c r="D10" s="6">
        <v>46109</v>
      </c>
      <c r="E10" s="6">
        <v>46109</v>
      </c>
      <c r="F10" s="5"/>
      <c r="H10">
        <f>D10-VLOOKUP(A10,'26035'!A:F,4,0)</f>
        <v>0</v>
      </c>
      <c r="I10">
        <f>E10-VLOOKUP(A10,'26035'!A:F,5,0)</f>
        <v>0</v>
      </c>
      <c r="J10">
        <f>F10-VLOOKUP(A10,'26035'!A:F,6,0)</f>
        <v>0</v>
      </c>
    </row>
    <row r="11" spans="1:10" ht="15.75" thickBot="1" x14ac:dyDescent="0.3">
      <c r="A11" s="4" t="s">
        <v>17</v>
      </c>
      <c r="B11" s="5" t="s">
        <v>18</v>
      </c>
      <c r="C11" s="5" t="s">
        <v>14</v>
      </c>
      <c r="D11" s="6">
        <v>46109</v>
      </c>
      <c r="E11" s="6">
        <v>46109</v>
      </c>
      <c r="F11" s="5"/>
      <c r="H11">
        <f>D11-VLOOKUP(A11,'26035'!A:F,4,0)</f>
        <v>0</v>
      </c>
      <c r="I11">
        <f>E11-VLOOKUP(A11,'26035'!A:F,5,0)</f>
        <v>0</v>
      </c>
      <c r="J11">
        <f>F11-VLOOKUP(A11,'26035'!A:F,6,0)</f>
        <v>0</v>
      </c>
    </row>
    <row r="12" spans="1:10" ht="15.75" thickBot="1" x14ac:dyDescent="0.3">
      <c r="A12" s="4" t="s">
        <v>19</v>
      </c>
      <c r="B12" s="5" t="s">
        <v>20</v>
      </c>
      <c r="C12" s="5" t="s">
        <v>14</v>
      </c>
      <c r="D12" s="6">
        <v>46109</v>
      </c>
      <c r="E12" s="6">
        <v>46109</v>
      </c>
      <c r="F12" s="5"/>
      <c r="H12">
        <f>D12-VLOOKUP(A12,'26035'!A:F,4,0)</f>
        <v>0</v>
      </c>
      <c r="I12">
        <f>E12-VLOOKUP(A12,'26035'!A:F,5,0)</f>
        <v>0</v>
      </c>
      <c r="J12">
        <f>F12-VLOOKUP(A12,'26035'!A:F,6,0)</f>
        <v>0</v>
      </c>
    </row>
    <row r="13" spans="1:10" ht="15.75" thickBot="1" x14ac:dyDescent="0.3">
      <c r="A13" s="4" t="s">
        <v>21</v>
      </c>
      <c r="B13" s="5" t="s">
        <v>22</v>
      </c>
      <c r="C13" s="5" t="s">
        <v>14</v>
      </c>
      <c r="D13" s="6">
        <v>46109</v>
      </c>
      <c r="E13" s="6">
        <v>46109</v>
      </c>
      <c r="F13" s="5"/>
      <c r="H13">
        <f>D13-VLOOKUP(A13,'26035'!A:F,4,0)</f>
        <v>0</v>
      </c>
      <c r="I13">
        <f>E13-VLOOKUP(A13,'26035'!A:F,5,0)</f>
        <v>0</v>
      </c>
      <c r="J13">
        <f>F13-VLOOKUP(A13,'26035'!A:F,6,0)</f>
        <v>0</v>
      </c>
    </row>
    <row r="14" spans="1:10" ht="15.75" thickBot="1" x14ac:dyDescent="0.3">
      <c r="A14" s="4" t="s">
        <v>23</v>
      </c>
      <c r="B14" s="5" t="s">
        <v>24</v>
      </c>
      <c r="C14" s="5" t="s">
        <v>14</v>
      </c>
      <c r="D14" s="6">
        <v>46109</v>
      </c>
      <c r="E14" s="6">
        <v>46109</v>
      </c>
      <c r="F14" s="5"/>
      <c r="H14">
        <f>D14-VLOOKUP(A14,'26035'!A:F,4,0)</f>
        <v>0</v>
      </c>
      <c r="I14">
        <f>E14-VLOOKUP(A14,'26035'!A:F,5,0)</f>
        <v>0</v>
      </c>
      <c r="J14">
        <f>F14-VLOOKUP(A14,'26035'!A:F,6,0)</f>
        <v>0</v>
      </c>
    </row>
    <row r="15" spans="1:10" ht="15.75" thickBot="1" x14ac:dyDescent="0.3">
      <c r="A15" s="4" t="s">
        <v>25</v>
      </c>
      <c r="B15" s="5" t="s">
        <v>26</v>
      </c>
      <c r="C15" s="5" t="s">
        <v>14</v>
      </c>
      <c r="D15" s="6">
        <v>46109</v>
      </c>
      <c r="E15" s="6">
        <v>46109</v>
      </c>
      <c r="F15" s="5"/>
      <c r="H15">
        <f>D15-VLOOKUP(A15,'26035'!A:F,4,0)</f>
        <v>0</v>
      </c>
      <c r="I15">
        <f>E15-VLOOKUP(A15,'26035'!A:F,5,0)</f>
        <v>0</v>
      </c>
      <c r="J15">
        <f>F15-VLOOKUP(A15,'26035'!A:F,6,0)</f>
        <v>0</v>
      </c>
    </row>
    <row r="16" spans="1:10" ht="15.75" thickBot="1" x14ac:dyDescent="0.3">
      <c r="A16" s="4" t="s">
        <v>27</v>
      </c>
      <c r="B16" s="5" t="s">
        <v>28</v>
      </c>
      <c r="C16" s="5" t="s">
        <v>14</v>
      </c>
      <c r="D16" s="6">
        <v>46108</v>
      </c>
      <c r="E16" s="6">
        <v>46108</v>
      </c>
      <c r="F16" s="5"/>
      <c r="H16">
        <f>D16-VLOOKUP(A16,'26035'!A:F,4,0)</f>
        <v>0</v>
      </c>
      <c r="I16">
        <f>E16-VLOOKUP(A16,'26035'!A:F,5,0)</f>
        <v>0</v>
      </c>
      <c r="J16">
        <f>F16-VLOOKUP(A16,'26035'!A:F,6,0)</f>
        <v>0</v>
      </c>
    </row>
    <row r="17" spans="1:10" ht="15.75" thickBot="1" x14ac:dyDescent="0.3">
      <c r="A17" s="4">
        <v>13</v>
      </c>
      <c r="B17" s="5" t="s">
        <v>29</v>
      </c>
      <c r="C17" s="5" t="s">
        <v>30</v>
      </c>
      <c r="D17" s="6">
        <v>46109</v>
      </c>
      <c r="E17" s="6">
        <v>46109</v>
      </c>
      <c r="F17" s="5"/>
      <c r="H17">
        <f>D17-VLOOKUP(A17,'26035'!A:F,4,0)</f>
        <v>0</v>
      </c>
      <c r="I17">
        <f>E17-VLOOKUP(A17,'26035'!A:F,5,0)</f>
        <v>0</v>
      </c>
      <c r="J17">
        <f>F17-VLOOKUP(A17,'26035'!A:F,6,0)</f>
        <v>0</v>
      </c>
    </row>
    <row r="18" spans="1:10" ht="15.75" thickBot="1" x14ac:dyDescent="0.3">
      <c r="A18" s="4">
        <v>14</v>
      </c>
      <c r="B18" s="5" t="s">
        <v>31</v>
      </c>
      <c r="C18" s="5" t="s">
        <v>10</v>
      </c>
      <c r="D18" s="6">
        <v>46115</v>
      </c>
      <c r="E18" s="6">
        <v>46115</v>
      </c>
      <c r="F18" s="5"/>
      <c r="H18">
        <f>D18-VLOOKUP(A18,'26035'!A:F,4,0)</f>
        <v>0</v>
      </c>
      <c r="I18">
        <f>E18-VLOOKUP(A18,'26035'!A:F,5,0)</f>
        <v>0</v>
      </c>
      <c r="J18">
        <f>F18-VLOOKUP(A18,'26035'!A:F,6,0)</f>
        <v>0</v>
      </c>
    </row>
    <row r="19" spans="1:10" ht="15.75" thickBot="1" x14ac:dyDescent="0.3">
      <c r="A19" s="4" t="s">
        <v>32</v>
      </c>
      <c r="B19" s="5" t="s">
        <v>33</v>
      </c>
      <c r="C19" s="5" t="s">
        <v>34</v>
      </c>
      <c r="D19" s="6">
        <v>46108</v>
      </c>
      <c r="E19" s="6">
        <v>46108</v>
      </c>
      <c r="F19" s="5"/>
      <c r="G19" s="17" t="s">
        <v>107</v>
      </c>
      <c r="H19">
        <f>D19-VLOOKUP(A19,'26035'!A:F,4,0)</f>
        <v>0</v>
      </c>
      <c r="I19">
        <f>E19-VLOOKUP(A19,'26035'!A:F,5,0)</f>
        <v>0</v>
      </c>
      <c r="J19">
        <f>F19-VLOOKUP(A19,'26035'!A:F,6,0)</f>
        <v>0</v>
      </c>
    </row>
    <row r="20" spans="1:10" ht="15.75" thickBot="1" x14ac:dyDescent="0.3">
      <c r="A20" s="4" t="s">
        <v>35</v>
      </c>
      <c r="B20" s="5" t="s">
        <v>36</v>
      </c>
      <c r="C20" s="5" t="s">
        <v>34</v>
      </c>
      <c r="D20" s="6">
        <v>46108</v>
      </c>
      <c r="E20" s="6">
        <v>46108</v>
      </c>
      <c r="F20" s="5"/>
      <c r="H20">
        <f>D20-VLOOKUP(A20,'26035'!A:F,4,0)</f>
        <v>0</v>
      </c>
      <c r="I20">
        <f>E20-VLOOKUP(A20,'26035'!A:F,5,0)</f>
        <v>0</v>
      </c>
      <c r="J20">
        <f>F20-VLOOKUP(A20,'26035'!A:F,6,0)</f>
        <v>0</v>
      </c>
    </row>
    <row r="21" spans="1:10" ht="15.75" thickBot="1" x14ac:dyDescent="0.3">
      <c r="A21" s="4" t="s">
        <v>37</v>
      </c>
      <c r="B21" s="5" t="s">
        <v>38</v>
      </c>
      <c r="C21" s="5" t="s">
        <v>34</v>
      </c>
      <c r="D21" s="6">
        <v>46108</v>
      </c>
      <c r="E21" s="6">
        <v>46108</v>
      </c>
      <c r="F21" s="5"/>
      <c r="H21">
        <f>D21-VLOOKUP(A21,'26035'!A:F,4,0)</f>
        <v>0</v>
      </c>
      <c r="I21">
        <f>E21-VLOOKUP(A21,'26035'!A:F,5,0)</f>
        <v>0</v>
      </c>
      <c r="J21">
        <f>F21-VLOOKUP(A21,'26035'!A:F,6,0)</f>
        <v>0</v>
      </c>
    </row>
    <row r="22" spans="1:10" ht="15.75" thickBot="1" x14ac:dyDescent="0.3">
      <c r="A22" s="4" t="s">
        <v>39</v>
      </c>
      <c r="B22" s="5" t="s">
        <v>40</v>
      </c>
      <c r="C22" s="5" t="s">
        <v>34</v>
      </c>
      <c r="D22" s="6">
        <v>46108</v>
      </c>
      <c r="E22" s="6">
        <v>46108</v>
      </c>
      <c r="F22" s="5"/>
      <c r="H22">
        <f>D22-VLOOKUP(A22,'26035'!A:F,4,0)</f>
        <v>0</v>
      </c>
      <c r="I22">
        <f>E22-VLOOKUP(A22,'26035'!A:F,5,0)</f>
        <v>0</v>
      </c>
      <c r="J22">
        <f>F22-VLOOKUP(A22,'26035'!A:F,6,0)</f>
        <v>0</v>
      </c>
    </row>
    <row r="23" spans="1:10" ht="15.75" thickBot="1" x14ac:dyDescent="0.3">
      <c r="A23" s="4" t="s">
        <v>41</v>
      </c>
      <c r="B23" s="5" t="s">
        <v>42</v>
      </c>
      <c r="C23" s="5" t="s">
        <v>34</v>
      </c>
      <c r="D23" s="6">
        <v>46108</v>
      </c>
      <c r="E23" s="6">
        <v>46108</v>
      </c>
      <c r="F23" s="5"/>
      <c r="H23">
        <f>D23-VLOOKUP(A23,'26035'!A:F,4,0)</f>
        <v>0</v>
      </c>
      <c r="I23">
        <f>E23-VLOOKUP(A23,'26035'!A:F,5,0)</f>
        <v>0</v>
      </c>
      <c r="J23">
        <f>F23-VLOOKUP(A23,'26035'!A:F,6,0)</f>
        <v>0</v>
      </c>
    </row>
    <row r="24" spans="1:10" ht="15.75" thickBot="1" x14ac:dyDescent="0.3">
      <c r="A24" s="4" t="s">
        <v>43</v>
      </c>
      <c r="B24" s="5" t="s">
        <v>44</v>
      </c>
      <c r="C24" s="5" t="s">
        <v>34</v>
      </c>
      <c r="D24" s="6">
        <v>46108</v>
      </c>
      <c r="E24" s="6">
        <v>46108</v>
      </c>
      <c r="F24" s="5"/>
      <c r="H24">
        <f>D24-VLOOKUP(A24,'26035'!A:F,4,0)</f>
        <v>0</v>
      </c>
      <c r="I24">
        <f>E24-VLOOKUP(A24,'26035'!A:F,5,0)</f>
        <v>0</v>
      </c>
      <c r="J24">
        <f>F24-VLOOKUP(A24,'26035'!A:F,6,0)</f>
        <v>0</v>
      </c>
    </row>
    <row r="25" spans="1:10" ht="15.75" thickBot="1" x14ac:dyDescent="0.3">
      <c r="A25" s="4" t="s">
        <v>45</v>
      </c>
      <c r="B25" s="5" t="s">
        <v>46</v>
      </c>
      <c r="C25" s="5" t="s">
        <v>34</v>
      </c>
      <c r="D25" s="6">
        <v>46108</v>
      </c>
      <c r="E25" s="6">
        <v>46108</v>
      </c>
      <c r="F25" s="5"/>
      <c r="H25">
        <f>D25-VLOOKUP(A25,'26035'!A:F,4,0)</f>
        <v>0</v>
      </c>
      <c r="I25">
        <f>E25-VLOOKUP(A25,'26035'!A:F,5,0)</f>
        <v>0</v>
      </c>
      <c r="J25">
        <f>F25-VLOOKUP(A25,'26035'!A:F,6,0)</f>
        <v>0</v>
      </c>
    </row>
    <row r="26" spans="1:10" ht="15.75" thickBot="1" x14ac:dyDescent="0.3">
      <c r="A26" s="4">
        <v>17</v>
      </c>
      <c r="B26" s="5" t="s">
        <v>47</v>
      </c>
      <c r="C26" s="5" t="s">
        <v>1</v>
      </c>
      <c r="D26" s="6">
        <v>46104</v>
      </c>
      <c r="E26" s="6">
        <v>46104</v>
      </c>
      <c r="F26" s="5"/>
      <c r="H26">
        <f>D26-VLOOKUP(A26,'26035'!A:F,4,0)</f>
        <v>0</v>
      </c>
      <c r="I26">
        <f>E26-VLOOKUP(A26,'26035'!A:F,5,0)</f>
        <v>0</v>
      </c>
      <c r="J26">
        <f>F26-VLOOKUP(A26,'26035'!A:F,6,0)</f>
        <v>0</v>
      </c>
    </row>
    <row r="27" spans="1:10" ht="15.75" thickBot="1" x14ac:dyDescent="0.3">
      <c r="A27" s="4">
        <v>18</v>
      </c>
      <c r="B27" s="5" t="s">
        <v>48</v>
      </c>
      <c r="C27" s="5" t="s">
        <v>34</v>
      </c>
      <c r="D27" s="6">
        <v>46113</v>
      </c>
      <c r="E27" s="6">
        <v>46113</v>
      </c>
      <c r="F27" s="5"/>
      <c r="H27">
        <f>D27-VLOOKUP(A27,'26035'!A:F,4,0)</f>
        <v>0</v>
      </c>
      <c r="I27">
        <f>E27-VLOOKUP(A27,'26035'!A:F,5,0)</f>
        <v>0</v>
      </c>
      <c r="J27">
        <f>F27-VLOOKUP(A27,'26035'!A:F,6,0)</f>
        <v>0</v>
      </c>
    </row>
    <row r="28" spans="1:10" ht="15.75" thickBot="1" x14ac:dyDescent="0.3">
      <c r="A28" s="4">
        <v>19</v>
      </c>
      <c r="B28" s="5" t="s">
        <v>49</v>
      </c>
      <c r="C28" s="5" t="s">
        <v>30</v>
      </c>
      <c r="D28" s="6">
        <v>46114</v>
      </c>
      <c r="E28" s="6">
        <v>46114</v>
      </c>
      <c r="F28" s="5"/>
      <c r="H28">
        <f>D28-VLOOKUP(A28,'26035'!A:F,4,0)</f>
        <v>0</v>
      </c>
      <c r="I28">
        <f>E28-VLOOKUP(A28,'26035'!A:F,5,0)</f>
        <v>0</v>
      </c>
      <c r="J28">
        <f>F28-VLOOKUP(A28,'26035'!A:F,6,0)</f>
        <v>0</v>
      </c>
    </row>
    <row r="29" spans="1:10" ht="15.75" thickBot="1" x14ac:dyDescent="0.3">
      <c r="A29" s="4">
        <v>20</v>
      </c>
      <c r="B29" s="5" t="s">
        <v>50</v>
      </c>
      <c r="C29" s="5" t="s">
        <v>30</v>
      </c>
      <c r="D29" s="6">
        <v>46118</v>
      </c>
      <c r="E29" s="6">
        <v>46118</v>
      </c>
      <c r="F29" s="5"/>
      <c r="H29">
        <f>D29-VLOOKUP(A29,'26035'!A:F,4,0)</f>
        <v>0</v>
      </c>
      <c r="I29">
        <f>E29-VLOOKUP(A29,'26035'!A:F,5,0)</f>
        <v>0</v>
      </c>
      <c r="J29">
        <f>F29-VLOOKUP(A29,'26035'!A:F,6,0)</f>
        <v>0</v>
      </c>
    </row>
    <row r="30" spans="1:10" ht="15.75" thickBot="1" x14ac:dyDescent="0.3">
      <c r="A30" s="4">
        <v>23</v>
      </c>
      <c r="B30" s="5" t="s">
        <v>51</v>
      </c>
      <c r="C30" s="5" t="s">
        <v>1</v>
      </c>
      <c r="D30" s="6">
        <v>46124</v>
      </c>
      <c r="E30" s="6">
        <v>46124</v>
      </c>
      <c r="F30" s="5"/>
      <c r="H30">
        <f>D30-VLOOKUP(A30,'26035'!A:F,4,0)</f>
        <v>0</v>
      </c>
      <c r="I30">
        <f>E30-VLOOKUP(A30,'26035'!A:F,5,0)</f>
        <v>0</v>
      </c>
      <c r="J30">
        <f>F30-VLOOKUP(A30,'26035'!A:F,6,0)</f>
        <v>0</v>
      </c>
    </row>
    <row r="31" spans="1:10" ht="15.75" thickBot="1" x14ac:dyDescent="0.3">
      <c r="A31" s="4">
        <v>27</v>
      </c>
      <c r="B31" s="5" t="s">
        <v>52</v>
      </c>
      <c r="C31" s="5" t="s">
        <v>30</v>
      </c>
      <c r="D31" s="6">
        <v>46137</v>
      </c>
      <c r="E31" s="6">
        <v>46137</v>
      </c>
      <c r="F31" s="5"/>
      <c r="H31">
        <f>D31-VLOOKUP(A31,'26035'!A:F,4,0)</f>
        <v>0</v>
      </c>
      <c r="I31">
        <f>E31-VLOOKUP(A31,'26035'!A:F,5,0)</f>
        <v>0</v>
      </c>
      <c r="J31">
        <f>F31-VLOOKUP(A31,'26035'!A:F,6,0)</f>
        <v>0</v>
      </c>
    </row>
    <row r="32" spans="1:10" ht="15.75" thickBot="1" x14ac:dyDescent="0.3">
      <c r="A32" s="4">
        <v>28</v>
      </c>
      <c r="B32" s="5" t="s">
        <v>53</v>
      </c>
      <c r="C32" s="5" t="s">
        <v>30</v>
      </c>
      <c r="D32" s="6">
        <v>46145</v>
      </c>
      <c r="E32" s="6">
        <v>46145</v>
      </c>
      <c r="F32" s="5"/>
      <c r="G32" s="15" t="s">
        <v>106</v>
      </c>
      <c r="H32">
        <f>D32-VLOOKUP(A32,'26035'!A:F,4,0)</f>
        <v>0</v>
      </c>
      <c r="I32">
        <f>E32-VLOOKUP(A32,'26035'!A:F,5,0)</f>
        <v>0</v>
      </c>
      <c r="J32">
        <f>F32-VLOOKUP(A32,'26035'!A:F,6,0)</f>
        <v>0</v>
      </c>
    </row>
    <row r="33" spans="1:10" ht="15.75" thickBot="1" x14ac:dyDescent="0.3">
      <c r="A33" s="4">
        <v>29</v>
      </c>
      <c r="B33" s="5" t="s">
        <v>54</v>
      </c>
      <c r="C33" s="5" t="s">
        <v>30</v>
      </c>
      <c r="D33" s="6">
        <v>46145</v>
      </c>
      <c r="E33" s="6">
        <v>46145</v>
      </c>
      <c r="F33" s="5"/>
      <c r="G33" s="15" t="s">
        <v>106</v>
      </c>
      <c r="H33">
        <f>D33-VLOOKUP(A33,'26035'!A:F,4,0)</f>
        <v>0</v>
      </c>
      <c r="I33">
        <f>E33-VLOOKUP(A33,'26035'!A:F,5,0)</f>
        <v>0</v>
      </c>
      <c r="J33">
        <f>F33-VLOOKUP(A33,'26035'!A:F,6,0)</f>
        <v>0</v>
      </c>
    </row>
    <row r="34" spans="1:10" ht="15.75" thickBot="1" x14ac:dyDescent="0.3">
      <c r="A34" s="4">
        <v>30</v>
      </c>
      <c r="B34" s="5" t="s">
        <v>55</v>
      </c>
      <c r="C34" s="5" t="s">
        <v>30</v>
      </c>
      <c r="D34" s="6">
        <v>46141</v>
      </c>
      <c r="E34" s="6">
        <v>46141</v>
      </c>
      <c r="F34" s="5"/>
      <c r="G34" s="15" t="s">
        <v>106</v>
      </c>
      <c r="H34">
        <f>D34-VLOOKUP(A34,'26035'!A:F,4,0)</f>
        <v>0</v>
      </c>
      <c r="I34">
        <f>E34-VLOOKUP(A34,'26035'!A:F,5,0)</f>
        <v>0</v>
      </c>
      <c r="J34">
        <f>F34-VLOOKUP(A34,'26035'!A:F,6,0)</f>
        <v>0</v>
      </c>
    </row>
    <row r="35" spans="1:10" ht="15.75" thickBot="1" x14ac:dyDescent="0.3">
      <c r="A35" s="4">
        <v>31</v>
      </c>
      <c r="B35" s="5" t="s">
        <v>56</v>
      </c>
      <c r="C35" s="5" t="s">
        <v>30</v>
      </c>
      <c r="D35" s="6">
        <v>46143</v>
      </c>
      <c r="E35" s="6">
        <v>46143</v>
      </c>
      <c r="F35" s="5"/>
      <c r="H35">
        <f>D35-VLOOKUP(A35,'26035'!A:F,4,0)</f>
        <v>0</v>
      </c>
      <c r="I35">
        <f>E35-VLOOKUP(A35,'26035'!A:F,5,0)</f>
        <v>0</v>
      </c>
      <c r="J35">
        <f>F35-VLOOKUP(A35,'26035'!A:F,6,0)</f>
        <v>0</v>
      </c>
    </row>
    <row r="36" spans="1:10" ht="15.75" thickBot="1" x14ac:dyDescent="0.3">
      <c r="A36" s="4" t="s">
        <v>57</v>
      </c>
      <c r="B36" s="5" t="s">
        <v>58</v>
      </c>
      <c r="C36" s="5" t="s">
        <v>30</v>
      </c>
      <c r="D36" s="6">
        <v>46143</v>
      </c>
      <c r="E36" s="25">
        <v>46165</v>
      </c>
      <c r="F36" s="5"/>
      <c r="G36" s="14" t="s">
        <v>105</v>
      </c>
      <c r="H36">
        <f>D36-VLOOKUP(A36,'26035'!A:F,4,0)</f>
        <v>0</v>
      </c>
      <c r="I36" s="22">
        <f>E36-VLOOKUP(A36,'26035'!A:F,5,0)</f>
        <v>26</v>
      </c>
      <c r="J36">
        <f>F36-VLOOKUP(A36,'26035'!A:F,6,0)</f>
        <v>0</v>
      </c>
    </row>
    <row r="37" spans="1:10" ht="15.75" thickBot="1" x14ac:dyDescent="0.3">
      <c r="A37" s="4" t="s">
        <v>59</v>
      </c>
      <c r="B37" s="5" t="s">
        <v>60</v>
      </c>
      <c r="C37" s="5" t="s">
        <v>30</v>
      </c>
      <c r="D37" s="6">
        <v>46139</v>
      </c>
      <c r="E37" s="25">
        <v>46165</v>
      </c>
      <c r="F37" s="5"/>
      <c r="H37">
        <f>D37-VLOOKUP(A37,'26035'!A:F,4,0)</f>
        <v>0</v>
      </c>
      <c r="I37" s="22">
        <f>E37-VLOOKUP(A37,'26035'!A:F,5,0)</f>
        <v>26</v>
      </c>
      <c r="J37">
        <f>F37-VLOOKUP(A37,'26035'!A:F,6,0)</f>
        <v>0</v>
      </c>
    </row>
    <row r="38" spans="1:10" ht="15.75" thickBot="1" x14ac:dyDescent="0.3">
      <c r="A38" s="4" t="s">
        <v>61</v>
      </c>
      <c r="B38" s="5" t="s">
        <v>62</v>
      </c>
      <c r="C38" s="5" t="s">
        <v>30</v>
      </c>
      <c r="D38" s="6">
        <v>46139</v>
      </c>
      <c r="E38" s="25">
        <v>46165</v>
      </c>
      <c r="F38" s="5"/>
      <c r="H38">
        <f>D38-VLOOKUP(A38,'26035'!A:F,4,0)</f>
        <v>0</v>
      </c>
      <c r="I38" s="22">
        <f>E38-VLOOKUP(A38,'26035'!A:F,5,0)</f>
        <v>26</v>
      </c>
      <c r="J38">
        <f>F38-VLOOKUP(A38,'26035'!A:F,6,0)</f>
        <v>0</v>
      </c>
    </row>
    <row r="39" spans="1:10" ht="15.75" thickBot="1" x14ac:dyDescent="0.3">
      <c r="A39" s="4" t="s">
        <v>63</v>
      </c>
      <c r="B39" s="5" t="s">
        <v>64</v>
      </c>
      <c r="C39" s="5" t="s">
        <v>30</v>
      </c>
      <c r="D39" s="6">
        <v>46139</v>
      </c>
      <c r="E39" s="25">
        <v>46165</v>
      </c>
      <c r="F39" s="5"/>
      <c r="H39">
        <f>D39-VLOOKUP(A39,'26035'!A:F,4,0)</f>
        <v>0</v>
      </c>
      <c r="I39" s="22">
        <f>E39-VLOOKUP(A39,'26035'!A:F,5,0)</f>
        <v>26</v>
      </c>
      <c r="J39">
        <f>F39-VLOOKUP(A39,'26035'!A:F,6,0)</f>
        <v>0</v>
      </c>
    </row>
    <row r="40" spans="1:10" ht="15.75" thickBot="1" x14ac:dyDescent="0.3">
      <c r="A40" s="4" t="s">
        <v>65</v>
      </c>
      <c r="B40" s="5" t="s">
        <v>66</v>
      </c>
      <c r="C40" s="5" t="s">
        <v>30</v>
      </c>
      <c r="D40" s="6">
        <v>46139</v>
      </c>
      <c r="E40" s="25">
        <v>46165</v>
      </c>
      <c r="F40" s="5"/>
      <c r="H40">
        <f>D40-VLOOKUP(A40,'26035'!A:F,4,0)</f>
        <v>0</v>
      </c>
      <c r="I40" s="22">
        <f>E40-VLOOKUP(A40,'26035'!A:F,5,0)</f>
        <v>26</v>
      </c>
      <c r="J40">
        <f>F40-VLOOKUP(A40,'26035'!A:F,6,0)</f>
        <v>0</v>
      </c>
    </row>
    <row r="41" spans="1:10" ht="15.75" thickBot="1" x14ac:dyDescent="0.3">
      <c r="A41" s="4" t="s">
        <v>67</v>
      </c>
      <c r="B41" s="5" t="s">
        <v>68</v>
      </c>
      <c r="C41" s="5" t="s">
        <v>30</v>
      </c>
      <c r="D41" s="6">
        <v>46139</v>
      </c>
      <c r="E41" s="25">
        <v>46165</v>
      </c>
      <c r="F41" s="5"/>
      <c r="H41">
        <f>D41-VLOOKUP(A41,'26035'!A:F,4,0)</f>
        <v>0</v>
      </c>
      <c r="I41" s="22">
        <f>E41-VLOOKUP(A41,'26035'!A:F,5,0)</f>
        <v>26</v>
      </c>
      <c r="J41">
        <f>F41-VLOOKUP(A41,'26035'!A:F,6,0)</f>
        <v>0</v>
      </c>
    </row>
    <row r="42" spans="1:10" ht="15.75" thickBot="1" x14ac:dyDescent="0.3">
      <c r="A42" s="4" t="s">
        <v>69</v>
      </c>
      <c r="B42" s="5" t="s">
        <v>70</v>
      </c>
      <c r="C42" s="5" t="s">
        <v>30</v>
      </c>
      <c r="D42" s="6">
        <v>46139</v>
      </c>
      <c r="E42" s="25">
        <v>46165</v>
      </c>
      <c r="F42" s="5"/>
      <c r="H42">
        <f>D42-VLOOKUP(A42,'26035'!A:F,4,0)</f>
        <v>0</v>
      </c>
      <c r="I42" s="22">
        <f>E42-VLOOKUP(A42,'26035'!A:F,5,0)</f>
        <v>26</v>
      </c>
      <c r="J42">
        <f>F42-VLOOKUP(A42,'26035'!A:F,6,0)</f>
        <v>0</v>
      </c>
    </row>
    <row r="43" spans="1:10" ht="15.75" thickBot="1" x14ac:dyDescent="0.3">
      <c r="A43" s="4">
        <v>33</v>
      </c>
      <c r="B43" s="5" t="s">
        <v>71</v>
      </c>
      <c r="C43" s="5" t="s">
        <v>14</v>
      </c>
      <c r="D43" s="6">
        <v>46149</v>
      </c>
      <c r="E43" s="25">
        <v>46173</v>
      </c>
      <c r="F43" s="5"/>
      <c r="G43" s="14" t="s">
        <v>105</v>
      </c>
      <c r="H43">
        <f>D43-VLOOKUP(A43,'26035'!A:F,4,0)</f>
        <v>0</v>
      </c>
      <c r="I43" s="22">
        <f>E43-VLOOKUP(A43,'26035'!A:F,5,0)</f>
        <v>26</v>
      </c>
      <c r="J43">
        <f>F43-VLOOKUP(A43,'26035'!A:F,6,0)</f>
        <v>0</v>
      </c>
    </row>
    <row r="44" spans="1:10" ht="15.75" thickBot="1" x14ac:dyDescent="0.3">
      <c r="A44" s="7" t="s">
        <v>72</v>
      </c>
      <c r="B44" s="8" t="s">
        <v>73</v>
      </c>
      <c r="C44" s="8" t="s">
        <v>14</v>
      </c>
      <c r="D44" s="9">
        <v>46147</v>
      </c>
      <c r="E44" s="25">
        <v>46173</v>
      </c>
      <c r="F44" s="8"/>
      <c r="H44">
        <f>D44-VLOOKUP(A44,'26035'!A:F,4,0)</f>
        <v>0</v>
      </c>
      <c r="I44" s="22">
        <f>E44-VLOOKUP(A44,'26035'!A:F,5,0)</f>
        <v>26</v>
      </c>
      <c r="J44">
        <f>F44-VLOOKUP(A44,'26035'!A:F,6,0)</f>
        <v>0</v>
      </c>
    </row>
    <row r="45" spans="1:10" ht="15.75" thickBot="1" x14ac:dyDescent="0.3">
      <c r="A45" s="4" t="s">
        <v>74</v>
      </c>
      <c r="B45" s="5" t="s">
        <v>75</v>
      </c>
      <c r="C45" s="5" t="s">
        <v>14</v>
      </c>
      <c r="D45" s="6">
        <v>46147</v>
      </c>
      <c r="E45" s="25">
        <v>46173</v>
      </c>
      <c r="F45" s="5"/>
      <c r="H45">
        <f>D45-VLOOKUP(A45,'26035'!A:F,4,0)</f>
        <v>0</v>
      </c>
      <c r="I45" s="22">
        <f>E45-VLOOKUP(A45,'26035'!A:F,5,0)</f>
        <v>26</v>
      </c>
      <c r="J45">
        <f>F45-VLOOKUP(A45,'26035'!A:F,6,0)</f>
        <v>0</v>
      </c>
    </row>
    <row r="46" spans="1:10" ht="15.75" thickBot="1" x14ac:dyDescent="0.3">
      <c r="A46" s="4" t="s">
        <v>76</v>
      </c>
      <c r="B46" s="5" t="s">
        <v>77</v>
      </c>
      <c r="C46" s="5" t="s">
        <v>14</v>
      </c>
      <c r="D46" s="6">
        <v>46147</v>
      </c>
      <c r="E46" s="25">
        <v>46173</v>
      </c>
      <c r="F46" s="5"/>
      <c r="H46">
        <f>D46-VLOOKUP(A46,'26035'!A:F,4,0)</f>
        <v>0</v>
      </c>
      <c r="I46" s="22">
        <f>E46-VLOOKUP(A46,'26035'!A:F,5,0)</f>
        <v>26</v>
      </c>
      <c r="J46">
        <f>F46-VLOOKUP(A46,'26035'!A:F,6,0)</f>
        <v>0</v>
      </c>
    </row>
    <row r="47" spans="1:10" ht="15.75" thickBot="1" x14ac:dyDescent="0.3">
      <c r="A47" s="4" t="s">
        <v>78</v>
      </c>
      <c r="B47" s="5" t="s">
        <v>79</v>
      </c>
      <c r="C47" s="5" t="s">
        <v>14</v>
      </c>
      <c r="D47" s="6">
        <v>46147</v>
      </c>
      <c r="E47" s="25">
        <v>46173</v>
      </c>
      <c r="F47" s="5"/>
      <c r="H47">
        <f>D47-VLOOKUP(A47,'26035'!A:F,4,0)</f>
        <v>0</v>
      </c>
      <c r="I47" s="22">
        <f>E47-VLOOKUP(A47,'26035'!A:F,5,0)</f>
        <v>26</v>
      </c>
      <c r="J47">
        <f>F47-VLOOKUP(A47,'26035'!A:F,6,0)</f>
        <v>0</v>
      </c>
    </row>
    <row r="48" spans="1:10" ht="15.75" thickBot="1" x14ac:dyDescent="0.3">
      <c r="A48" s="4" t="s">
        <v>80</v>
      </c>
      <c r="B48" s="5" t="s">
        <v>81</v>
      </c>
      <c r="C48" s="5" t="s">
        <v>14</v>
      </c>
      <c r="D48" s="6">
        <v>46147</v>
      </c>
      <c r="E48" s="25">
        <v>46173</v>
      </c>
      <c r="F48" s="5"/>
      <c r="H48">
        <f>D48-VLOOKUP(A48,'26035'!A:F,4,0)</f>
        <v>0</v>
      </c>
      <c r="I48" s="22">
        <f>E48-VLOOKUP(A48,'26035'!A:F,5,0)</f>
        <v>26</v>
      </c>
      <c r="J48">
        <f>F48-VLOOKUP(A48,'26035'!A:F,6,0)</f>
        <v>0</v>
      </c>
    </row>
    <row r="49" spans="1:10" ht="15.75" thickBot="1" x14ac:dyDescent="0.3">
      <c r="A49" s="4" t="s">
        <v>82</v>
      </c>
      <c r="B49" s="5" t="s">
        <v>83</v>
      </c>
      <c r="C49" s="5" t="s">
        <v>14</v>
      </c>
      <c r="D49" s="6">
        <v>46147</v>
      </c>
      <c r="E49" s="25">
        <v>46173</v>
      </c>
      <c r="F49" s="5"/>
      <c r="H49">
        <f>D49-VLOOKUP(A49,'26035'!A:F,4,0)</f>
        <v>0</v>
      </c>
      <c r="I49" s="22">
        <f>E49-VLOOKUP(A49,'26035'!A:F,5,0)</f>
        <v>26</v>
      </c>
      <c r="J49">
        <f>F49-VLOOKUP(A49,'26035'!A:F,6,0)</f>
        <v>0</v>
      </c>
    </row>
    <row r="50" spans="1:10" ht="15.75" thickBot="1" x14ac:dyDescent="0.3">
      <c r="A50" s="4" t="s">
        <v>84</v>
      </c>
      <c r="B50" s="5" t="s">
        <v>85</v>
      </c>
      <c r="C50" s="5" t="s">
        <v>14</v>
      </c>
      <c r="D50" s="6">
        <v>46147</v>
      </c>
      <c r="E50" s="25">
        <v>46173</v>
      </c>
      <c r="F50" s="5"/>
      <c r="H50">
        <f>D50-VLOOKUP(A50,'26035'!A:F,4,0)</f>
        <v>0</v>
      </c>
      <c r="I50" s="22">
        <f>E50-VLOOKUP(A50,'26035'!A:F,5,0)</f>
        <v>26</v>
      </c>
      <c r="J50">
        <f>F50-VLOOKUP(A50,'26035'!A:F,6,0)</f>
        <v>0</v>
      </c>
    </row>
    <row r="51" spans="1:10" ht="15.75" thickBot="1" x14ac:dyDescent="0.3">
      <c r="A51" s="4">
        <v>34</v>
      </c>
      <c r="B51" s="5" t="s">
        <v>86</v>
      </c>
      <c r="C51" s="5" t="s">
        <v>1</v>
      </c>
      <c r="D51" s="6">
        <v>46156</v>
      </c>
      <c r="E51" s="6">
        <v>46156</v>
      </c>
      <c r="F51" s="5"/>
      <c r="H51">
        <f>D51-VLOOKUP(A51,'26035'!A:F,4,0)</f>
        <v>0</v>
      </c>
      <c r="I51">
        <f>E51-VLOOKUP(A51,'26035'!A:F,5,0)</f>
        <v>0</v>
      </c>
      <c r="J51">
        <f>F51-VLOOKUP(A51,'26035'!A:F,6,0)</f>
        <v>0</v>
      </c>
    </row>
    <row r="52" spans="1:10" ht="15.75" thickBot="1" x14ac:dyDescent="0.3">
      <c r="A52" s="4">
        <v>35</v>
      </c>
      <c r="B52" s="5" t="s">
        <v>87</v>
      </c>
      <c r="C52" s="5" t="s">
        <v>88</v>
      </c>
      <c r="D52" s="6">
        <v>46156</v>
      </c>
      <c r="E52" s="6">
        <v>46172</v>
      </c>
      <c r="F52" s="6">
        <v>46128</v>
      </c>
      <c r="H52">
        <f>D52-VLOOKUP(A52,'26035'!A:F,4,0)</f>
        <v>0</v>
      </c>
      <c r="I52">
        <f>E52-VLOOKUP(A52,'26035'!A:F,5,0)</f>
        <v>0</v>
      </c>
      <c r="J52">
        <f>F52-VLOOKUP(A52,'26035'!A:F,6,0)</f>
        <v>0</v>
      </c>
    </row>
    <row r="53" spans="1:10" ht="15.75" thickBot="1" x14ac:dyDescent="0.3">
      <c r="A53" s="4">
        <v>36</v>
      </c>
      <c r="B53" s="5" t="s">
        <v>89</v>
      </c>
      <c r="C53" s="5" t="s">
        <v>30</v>
      </c>
      <c r="D53" s="6">
        <v>46154</v>
      </c>
      <c r="E53" s="6">
        <v>46154</v>
      </c>
      <c r="F53" s="5"/>
      <c r="H53">
        <f>D53-VLOOKUP(A53,'26035'!A:F,4,0)</f>
        <v>0</v>
      </c>
      <c r="I53">
        <f>E53-VLOOKUP(A53,'26035'!A:F,5,0)</f>
        <v>0</v>
      </c>
      <c r="J53">
        <f>F53-VLOOKUP(A53,'26035'!A:F,6,0)</f>
        <v>0</v>
      </c>
    </row>
    <row r="54" spans="1:10" ht="15.75" thickBot="1" x14ac:dyDescent="0.3">
      <c r="A54" s="4">
        <v>37</v>
      </c>
      <c r="B54" s="5" t="s">
        <v>90</v>
      </c>
      <c r="C54" s="5" t="s">
        <v>30</v>
      </c>
      <c r="D54" s="6">
        <v>46156</v>
      </c>
      <c r="E54" s="25">
        <v>46182</v>
      </c>
      <c r="F54" s="5"/>
      <c r="G54" s="14" t="s">
        <v>105</v>
      </c>
      <c r="H54">
        <f>D54-VLOOKUP(A54,'26035'!A:F,4,0)</f>
        <v>0</v>
      </c>
      <c r="I54" s="22">
        <f>E54-VLOOKUP(A54,'26035'!A:F,5,0)</f>
        <v>26</v>
      </c>
      <c r="J54">
        <f>F54-VLOOKUP(A54,'26035'!A:F,6,0)</f>
        <v>0</v>
      </c>
    </row>
    <row r="55" spans="1:10" ht="15.75" thickBot="1" x14ac:dyDescent="0.3">
      <c r="A55" s="4" t="s">
        <v>91</v>
      </c>
      <c r="B55" s="5" t="s">
        <v>92</v>
      </c>
      <c r="C55" s="5" t="s">
        <v>3</v>
      </c>
      <c r="D55" s="6">
        <v>46165</v>
      </c>
      <c r="E55" s="25">
        <v>46191</v>
      </c>
      <c r="F55" s="5"/>
      <c r="G55" s="14" t="s">
        <v>105</v>
      </c>
      <c r="H55">
        <f>D55-VLOOKUP(A55,'26035'!A:F,4,0)</f>
        <v>0</v>
      </c>
      <c r="I55" s="22">
        <f>E55-VLOOKUP(A55,'26035'!A:F,5,0)</f>
        <v>26</v>
      </c>
      <c r="J55">
        <f>F55-VLOOKUP(A55,'26035'!A:F,6,0)</f>
        <v>0</v>
      </c>
    </row>
    <row r="56" spans="1:10" ht="15.75" thickBot="1" x14ac:dyDescent="0.3">
      <c r="A56" s="4">
        <v>39</v>
      </c>
      <c r="B56" s="5" t="s">
        <v>93</v>
      </c>
      <c r="C56" s="5" t="s">
        <v>3</v>
      </c>
      <c r="D56" s="6">
        <v>46167</v>
      </c>
      <c r="E56" s="25">
        <v>46193</v>
      </c>
      <c r="F56" s="5"/>
      <c r="G56" s="16" t="s">
        <v>104</v>
      </c>
      <c r="H56">
        <f>D56-VLOOKUP(A56,'26035'!A:F,4,0)</f>
        <v>0</v>
      </c>
      <c r="I56" s="22">
        <f>E56-VLOOKUP(A56,'26035'!A:F,5,0)</f>
        <v>26</v>
      </c>
      <c r="J56">
        <f>F56-VLOOKUP(A56,'26035'!A:F,6,0)</f>
        <v>0</v>
      </c>
    </row>
    <row r="57" spans="1:10" ht="15.75" thickBot="1" x14ac:dyDescent="0.3">
      <c r="A57" s="4" t="s">
        <v>94</v>
      </c>
      <c r="B57" s="5" t="s">
        <v>95</v>
      </c>
      <c r="C57" s="5" t="s">
        <v>3</v>
      </c>
      <c r="D57" s="6">
        <v>46171</v>
      </c>
      <c r="E57" s="6">
        <v>46171</v>
      </c>
      <c r="F57" s="5"/>
      <c r="H57">
        <f>D57-VLOOKUP(A57,'26035'!A:F,4,0)</f>
        <v>0</v>
      </c>
      <c r="I57">
        <f>E57-VLOOKUP(A57,'26035'!A:F,5,0)</f>
        <v>0</v>
      </c>
      <c r="J57">
        <f>F57-VLOOKUP(A57,'26035'!A:F,6,0)</f>
        <v>0</v>
      </c>
    </row>
    <row r="58" spans="1:10" ht="15.75" thickBot="1" x14ac:dyDescent="0.3">
      <c r="A58" s="10" t="s">
        <v>96</v>
      </c>
      <c r="B58" s="11" t="s">
        <v>97</v>
      </c>
      <c r="C58" s="11" t="s">
        <v>5</v>
      </c>
      <c r="D58" s="12">
        <v>46096</v>
      </c>
      <c r="E58" s="12">
        <v>46096</v>
      </c>
      <c r="F58" s="11"/>
      <c r="H58">
        <f>D58-VLOOKUP(A58,'26035'!A:F,4,0)</f>
        <v>0</v>
      </c>
      <c r="I58">
        <f>E58-VLOOKUP(A58,'26035'!A:F,5,0)</f>
        <v>0</v>
      </c>
      <c r="J58">
        <f>F58-VLOOKUP(A58,'26035'!A:F,6,0)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D8ED-919E-4201-9620-E3042FC90D2E}">
  <sheetPr codeName="Sheet3">
    <tabColor rgb="FFFFC000"/>
  </sheetPr>
  <dimension ref="A1:J58"/>
  <sheetViews>
    <sheetView workbookViewId="0">
      <pane ySplit="1" topLeftCell="A36" activePane="bottomLeft" state="frozen"/>
      <selection pane="bottomLeft" activeCell="A67" sqref="A67"/>
    </sheetView>
  </sheetViews>
  <sheetFormatPr defaultRowHeight="15" x14ac:dyDescent="0.25"/>
  <cols>
    <col min="1" max="1" width="26.7109375" bestFit="1" customWidth="1"/>
    <col min="2" max="2" width="60.5703125" bestFit="1" customWidth="1"/>
    <col min="3" max="3" width="41.140625" bestFit="1" customWidth="1"/>
    <col min="4" max="4" width="16.28515625" bestFit="1" customWidth="1"/>
    <col min="5" max="5" width="21.140625" bestFit="1" customWidth="1"/>
    <col min="6" max="6" width="17.42578125" bestFit="1" customWidth="1"/>
    <col min="7" max="7" width="9.42578125" style="13" bestFit="1" customWidth="1"/>
    <col min="8" max="8" width="10.5703125" bestFit="1" customWidth="1"/>
    <col min="9" max="10" width="11.85546875" bestFit="1" customWidth="1"/>
  </cols>
  <sheetData>
    <row r="1" spans="1:10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s="13" t="s">
        <v>109</v>
      </c>
      <c r="H1" t="s">
        <v>110</v>
      </c>
      <c r="I1" t="s">
        <v>111</v>
      </c>
      <c r="J1" t="s">
        <v>112</v>
      </c>
    </row>
    <row r="2" spans="1:10" ht="15.75" thickBot="1" x14ac:dyDescent="0.3">
      <c r="A2" s="1">
        <v>1</v>
      </c>
      <c r="B2" s="2" t="s">
        <v>0</v>
      </c>
      <c r="C2" s="2" t="s">
        <v>1</v>
      </c>
      <c r="D2" s="3">
        <v>46089</v>
      </c>
      <c r="E2" s="3">
        <v>46089</v>
      </c>
      <c r="F2" s="2"/>
      <c r="H2">
        <f>D2-VLOOKUP(A2,'26035'!A:F,4,0)</f>
        <v>0</v>
      </c>
      <c r="I2">
        <f>E2-VLOOKUP(A2,'26035'!A:F,5,0)</f>
        <v>0</v>
      </c>
      <c r="J2">
        <f>F2-VLOOKUP(A2,'26035'!A:F,6,0)</f>
        <v>0</v>
      </c>
    </row>
    <row r="3" spans="1:10" ht="15.75" thickBot="1" x14ac:dyDescent="0.3">
      <c r="A3" s="4">
        <v>3</v>
      </c>
      <c r="B3" s="5" t="s">
        <v>2</v>
      </c>
      <c r="C3" s="5" t="s">
        <v>3</v>
      </c>
      <c r="D3" s="6">
        <v>46094</v>
      </c>
      <c r="E3" s="6">
        <v>46094</v>
      </c>
      <c r="F3" s="5"/>
      <c r="H3">
        <f>D3-VLOOKUP(A3,'26035'!A:F,4,0)</f>
        <v>0</v>
      </c>
      <c r="I3">
        <f>E3-VLOOKUP(A3,'26035'!A:F,5,0)</f>
        <v>0</v>
      </c>
      <c r="J3">
        <f>F3-VLOOKUP(A3,'26035'!A:F,6,0)</f>
        <v>0</v>
      </c>
    </row>
    <row r="4" spans="1:10" ht="15.75" thickBot="1" x14ac:dyDescent="0.3">
      <c r="A4" s="4">
        <v>4</v>
      </c>
      <c r="B4" s="5" t="s">
        <v>4</v>
      </c>
      <c r="C4" s="5" t="s">
        <v>5</v>
      </c>
      <c r="D4" s="6">
        <v>46096</v>
      </c>
      <c r="E4" s="6">
        <v>46096</v>
      </c>
      <c r="F4" s="6">
        <v>46096</v>
      </c>
      <c r="G4" s="18" t="s">
        <v>108</v>
      </c>
      <c r="H4">
        <f>D4-VLOOKUP(A4,'26035'!A:F,4,0)</f>
        <v>0</v>
      </c>
      <c r="I4">
        <f>E4-VLOOKUP(A4,'26035'!A:F,5,0)</f>
        <v>0</v>
      </c>
      <c r="J4">
        <f>F4-VLOOKUP(A4,'26035'!A:F,6,0)</f>
        <v>0</v>
      </c>
    </row>
    <row r="5" spans="1:10" ht="15.75" thickBot="1" x14ac:dyDescent="0.3">
      <c r="A5" s="4">
        <v>5</v>
      </c>
      <c r="B5" s="5" t="s">
        <v>6</v>
      </c>
      <c r="C5" s="5" t="s">
        <v>3</v>
      </c>
      <c r="D5" s="6">
        <v>46103</v>
      </c>
      <c r="E5" s="6">
        <v>46103</v>
      </c>
      <c r="F5" s="5"/>
      <c r="H5">
        <f>D5-VLOOKUP(A5,'26035'!A:F,4,0)</f>
        <v>0</v>
      </c>
      <c r="I5">
        <f>E5-VLOOKUP(A5,'26035'!A:F,5,0)</f>
        <v>0</v>
      </c>
      <c r="J5">
        <f>F5-VLOOKUP(A5,'26035'!A:F,6,0)</f>
        <v>0</v>
      </c>
    </row>
    <row r="6" spans="1:10" ht="15.75" thickBot="1" x14ac:dyDescent="0.3">
      <c r="A6" s="4" t="s">
        <v>7</v>
      </c>
      <c r="B6" s="5" t="s">
        <v>8</v>
      </c>
      <c r="C6" s="5" t="s">
        <v>3</v>
      </c>
      <c r="D6" s="6">
        <v>46107</v>
      </c>
      <c r="E6" s="6">
        <v>46107</v>
      </c>
      <c r="F6" s="5"/>
      <c r="H6">
        <f>D6-VLOOKUP(A6,'26035'!A:F,4,0)</f>
        <v>0</v>
      </c>
      <c r="I6">
        <f>E6-VLOOKUP(A6,'26035'!A:F,5,0)</f>
        <v>0</v>
      </c>
      <c r="J6">
        <f>F6-VLOOKUP(A6,'26035'!A:F,6,0)</f>
        <v>0</v>
      </c>
    </row>
    <row r="7" spans="1:10" ht="15.75" thickBot="1" x14ac:dyDescent="0.3">
      <c r="A7" s="4">
        <v>7</v>
      </c>
      <c r="B7" s="5" t="s">
        <v>9</v>
      </c>
      <c r="C7" s="5" t="s">
        <v>10</v>
      </c>
      <c r="D7" s="6">
        <v>46114</v>
      </c>
      <c r="E7" s="6">
        <v>46114</v>
      </c>
      <c r="F7" s="5"/>
      <c r="H7">
        <f>D7-VLOOKUP(A7,'26035'!A:F,4,0)</f>
        <v>0</v>
      </c>
      <c r="I7">
        <f>E7-VLOOKUP(A7,'26035'!A:F,5,0)</f>
        <v>0</v>
      </c>
      <c r="J7">
        <f>F7-VLOOKUP(A7,'26035'!A:F,6,0)</f>
        <v>0</v>
      </c>
    </row>
    <row r="8" spans="1:10" ht="15.75" thickBot="1" x14ac:dyDescent="0.3">
      <c r="A8" s="4" t="s">
        <v>11</v>
      </c>
      <c r="B8" s="5" t="s">
        <v>12</v>
      </c>
      <c r="C8" s="5" t="s">
        <v>3</v>
      </c>
      <c r="D8" s="6">
        <v>46109</v>
      </c>
      <c r="E8" s="6">
        <v>46109</v>
      </c>
      <c r="F8" s="5"/>
      <c r="H8">
        <f>D8-VLOOKUP(A8,'26035'!A:F,4,0)</f>
        <v>0</v>
      </c>
      <c r="I8">
        <f>E8-VLOOKUP(A8,'26035'!A:F,5,0)</f>
        <v>0</v>
      </c>
      <c r="J8">
        <f>F8-VLOOKUP(A8,'26035'!A:F,6,0)</f>
        <v>0</v>
      </c>
    </row>
    <row r="9" spans="1:10" ht="15.75" thickBot="1" x14ac:dyDescent="0.3">
      <c r="A9" s="4">
        <v>9</v>
      </c>
      <c r="B9" s="5" t="s">
        <v>13</v>
      </c>
      <c r="C9" s="5" t="s">
        <v>14</v>
      </c>
      <c r="D9" s="6">
        <v>46109</v>
      </c>
      <c r="E9" s="6">
        <v>46109</v>
      </c>
      <c r="F9" s="5"/>
      <c r="H9">
        <f>D9-VLOOKUP(A9,'26035'!A:F,4,0)</f>
        <v>0</v>
      </c>
      <c r="I9">
        <f>E9-VLOOKUP(A9,'26035'!A:F,5,0)</f>
        <v>0</v>
      </c>
      <c r="J9">
        <f>F9-VLOOKUP(A9,'26035'!A:F,6,0)</f>
        <v>0</v>
      </c>
    </row>
    <row r="10" spans="1:10" ht="15.75" thickBot="1" x14ac:dyDescent="0.3">
      <c r="A10" s="4" t="s">
        <v>15</v>
      </c>
      <c r="B10" s="5" t="s">
        <v>16</v>
      </c>
      <c r="C10" s="5" t="s">
        <v>14</v>
      </c>
      <c r="D10" s="6">
        <v>46109</v>
      </c>
      <c r="E10" s="6">
        <v>46109</v>
      </c>
      <c r="F10" s="5"/>
      <c r="H10">
        <f>D10-VLOOKUP(A10,'26035'!A:F,4,0)</f>
        <v>0</v>
      </c>
      <c r="I10">
        <f>E10-VLOOKUP(A10,'26035'!A:F,5,0)</f>
        <v>0</v>
      </c>
      <c r="J10">
        <f>F10-VLOOKUP(A10,'26035'!A:F,6,0)</f>
        <v>0</v>
      </c>
    </row>
    <row r="11" spans="1:10" ht="15.75" thickBot="1" x14ac:dyDescent="0.3">
      <c r="A11" s="4" t="s">
        <v>17</v>
      </c>
      <c r="B11" s="5" t="s">
        <v>18</v>
      </c>
      <c r="C11" s="5" t="s">
        <v>14</v>
      </c>
      <c r="D11" s="6">
        <v>46109</v>
      </c>
      <c r="E11" s="6">
        <v>46109</v>
      </c>
      <c r="F11" s="5"/>
      <c r="H11">
        <f>D11-VLOOKUP(A11,'26035'!A:F,4,0)</f>
        <v>0</v>
      </c>
      <c r="I11">
        <f>E11-VLOOKUP(A11,'26035'!A:F,5,0)</f>
        <v>0</v>
      </c>
      <c r="J11">
        <f>F11-VLOOKUP(A11,'26035'!A:F,6,0)</f>
        <v>0</v>
      </c>
    </row>
    <row r="12" spans="1:10" ht="15.75" thickBot="1" x14ac:dyDescent="0.3">
      <c r="A12" s="4" t="s">
        <v>19</v>
      </c>
      <c r="B12" s="5" t="s">
        <v>20</v>
      </c>
      <c r="C12" s="5" t="s">
        <v>14</v>
      </c>
      <c r="D12" s="6">
        <v>46109</v>
      </c>
      <c r="E12" s="6">
        <v>46109</v>
      </c>
      <c r="F12" s="5"/>
      <c r="H12">
        <f>D12-VLOOKUP(A12,'26035'!A:F,4,0)</f>
        <v>0</v>
      </c>
      <c r="I12">
        <f>E12-VLOOKUP(A12,'26035'!A:F,5,0)</f>
        <v>0</v>
      </c>
      <c r="J12">
        <f>F12-VLOOKUP(A12,'26035'!A:F,6,0)</f>
        <v>0</v>
      </c>
    </row>
    <row r="13" spans="1:10" ht="15.75" thickBot="1" x14ac:dyDescent="0.3">
      <c r="A13" s="4" t="s">
        <v>21</v>
      </c>
      <c r="B13" s="5" t="s">
        <v>22</v>
      </c>
      <c r="C13" s="5" t="s">
        <v>14</v>
      </c>
      <c r="D13" s="6">
        <v>46109</v>
      </c>
      <c r="E13" s="6">
        <v>46109</v>
      </c>
      <c r="F13" s="5"/>
      <c r="H13">
        <f>D13-VLOOKUP(A13,'26035'!A:F,4,0)</f>
        <v>0</v>
      </c>
      <c r="I13">
        <f>E13-VLOOKUP(A13,'26035'!A:F,5,0)</f>
        <v>0</v>
      </c>
      <c r="J13">
        <f>F13-VLOOKUP(A13,'26035'!A:F,6,0)</f>
        <v>0</v>
      </c>
    </row>
    <row r="14" spans="1:10" ht="15.75" thickBot="1" x14ac:dyDescent="0.3">
      <c r="A14" s="4" t="s">
        <v>23</v>
      </c>
      <c r="B14" s="5" t="s">
        <v>24</v>
      </c>
      <c r="C14" s="5" t="s">
        <v>14</v>
      </c>
      <c r="D14" s="6">
        <v>46109</v>
      </c>
      <c r="E14" s="6">
        <v>46109</v>
      </c>
      <c r="F14" s="5"/>
      <c r="H14">
        <f>D14-VLOOKUP(A14,'26035'!A:F,4,0)</f>
        <v>0</v>
      </c>
      <c r="I14">
        <f>E14-VLOOKUP(A14,'26035'!A:F,5,0)</f>
        <v>0</v>
      </c>
      <c r="J14">
        <f>F14-VLOOKUP(A14,'26035'!A:F,6,0)</f>
        <v>0</v>
      </c>
    </row>
    <row r="15" spans="1:10" ht="15.75" thickBot="1" x14ac:dyDescent="0.3">
      <c r="A15" s="4" t="s">
        <v>25</v>
      </c>
      <c r="B15" s="5" t="s">
        <v>26</v>
      </c>
      <c r="C15" s="5" t="s">
        <v>14</v>
      </c>
      <c r="D15" s="6">
        <v>46109</v>
      </c>
      <c r="E15" s="6">
        <v>46109</v>
      </c>
      <c r="F15" s="5"/>
      <c r="H15">
        <f>D15-VLOOKUP(A15,'26035'!A:F,4,0)</f>
        <v>0</v>
      </c>
      <c r="I15">
        <f>E15-VLOOKUP(A15,'26035'!A:F,5,0)</f>
        <v>0</v>
      </c>
      <c r="J15">
        <f>F15-VLOOKUP(A15,'26035'!A:F,6,0)</f>
        <v>0</v>
      </c>
    </row>
    <row r="16" spans="1:10" ht="15.75" thickBot="1" x14ac:dyDescent="0.3">
      <c r="A16" s="4" t="s">
        <v>27</v>
      </c>
      <c r="B16" s="5" t="s">
        <v>28</v>
      </c>
      <c r="C16" s="5" t="s">
        <v>14</v>
      </c>
      <c r="D16" s="6">
        <v>46108</v>
      </c>
      <c r="E16" s="6">
        <v>46108</v>
      </c>
      <c r="F16" s="5"/>
      <c r="H16">
        <f>D16-VLOOKUP(A16,'26035'!A:F,4,0)</f>
        <v>0</v>
      </c>
      <c r="I16">
        <f>E16-VLOOKUP(A16,'26035'!A:F,5,0)</f>
        <v>0</v>
      </c>
      <c r="J16">
        <f>F16-VLOOKUP(A16,'26035'!A:F,6,0)</f>
        <v>0</v>
      </c>
    </row>
    <row r="17" spans="1:10" ht="15.75" thickBot="1" x14ac:dyDescent="0.3">
      <c r="A17" s="4">
        <v>13</v>
      </c>
      <c r="B17" s="5" t="s">
        <v>29</v>
      </c>
      <c r="C17" s="5" t="s">
        <v>30</v>
      </c>
      <c r="D17" s="6">
        <v>46109</v>
      </c>
      <c r="E17" s="6">
        <v>46109</v>
      </c>
      <c r="F17" s="5"/>
      <c r="H17">
        <f>D17-VLOOKUP(A17,'26035'!A:F,4,0)</f>
        <v>0</v>
      </c>
      <c r="I17">
        <f>E17-VLOOKUP(A17,'26035'!A:F,5,0)</f>
        <v>0</v>
      </c>
      <c r="J17">
        <f>F17-VLOOKUP(A17,'26035'!A:F,6,0)</f>
        <v>0</v>
      </c>
    </row>
    <row r="18" spans="1:10" ht="15.75" thickBot="1" x14ac:dyDescent="0.3">
      <c r="A18" s="4">
        <v>14</v>
      </c>
      <c r="B18" s="5" t="s">
        <v>31</v>
      </c>
      <c r="C18" s="5" t="s">
        <v>10</v>
      </c>
      <c r="D18" s="6">
        <v>46115</v>
      </c>
      <c r="E18" s="6">
        <v>46115</v>
      </c>
      <c r="F18" s="5"/>
      <c r="H18">
        <f>D18-VLOOKUP(A18,'26035'!A:F,4,0)</f>
        <v>0</v>
      </c>
      <c r="I18">
        <f>E18-VLOOKUP(A18,'26035'!A:F,5,0)</f>
        <v>0</v>
      </c>
      <c r="J18">
        <f>F18-VLOOKUP(A18,'26035'!A:F,6,0)</f>
        <v>0</v>
      </c>
    </row>
    <row r="19" spans="1:10" ht="15.75" thickBot="1" x14ac:dyDescent="0.3">
      <c r="A19" s="4" t="s">
        <v>32</v>
      </c>
      <c r="B19" s="5" t="s">
        <v>33</v>
      </c>
      <c r="C19" s="5" t="s">
        <v>34</v>
      </c>
      <c r="D19" s="6">
        <v>46108</v>
      </c>
      <c r="E19" s="6">
        <v>46108</v>
      </c>
      <c r="F19" s="5"/>
      <c r="G19" s="17" t="s">
        <v>107</v>
      </c>
      <c r="H19">
        <f>D19-VLOOKUP(A19,'26035'!A:F,4,0)</f>
        <v>0</v>
      </c>
      <c r="I19">
        <f>E19-VLOOKUP(A19,'26035'!A:F,5,0)</f>
        <v>0</v>
      </c>
      <c r="J19">
        <f>F19-VLOOKUP(A19,'26035'!A:F,6,0)</f>
        <v>0</v>
      </c>
    </row>
    <row r="20" spans="1:10" ht="15.75" thickBot="1" x14ac:dyDescent="0.3">
      <c r="A20" s="4" t="s">
        <v>35</v>
      </c>
      <c r="B20" s="5" t="s">
        <v>36</v>
      </c>
      <c r="C20" s="5" t="s">
        <v>34</v>
      </c>
      <c r="D20" s="6">
        <v>46108</v>
      </c>
      <c r="E20" s="6">
        <v>46108</v>
      </c>
      <c r="F20" s="5"/>
      <c r="H20">
        <f>D20-VLOOKUP(A20,'26035'!A:F,4,0)</f>
        <v>0</v>
      </c>
      <c r="I20">
        <f>E20-VLOOKUP(A20,'26035'!A:F,5,0)</f>
        <v>0</v>
      </c>
      <c r="J20">
        <f>F20-VLOOKUP(A20,'26035'!A:F,6,0)</f>
        <v>0</v>
      </c>
    </row>
    <row r="21" spans="1:10" ht="15.75" thickBot="1" x14ac:dyDescent="0.3">
      <c r="A21" s="4" t="s">
        <v>37</v>
      </c>
      <c r="B21" s="5" t="s">
        <v>38</v>
      </c>
      <c r="C21" s="5" t="s">
        <v>34</v>
      </c>
      <c r="D21" s="6">
        <v>46108</v>
      </c>
      <c r="E21" s="6">
        <v>46108</v>
      </c>
      <c r="F21" s="5"/>
      <c r="H21">
        <f>D21-VLOOKUP(A21,'26035'!A:F,4,0)</f>
        <v>0</v>
      </c>
      <c r="I21">
        <f>E21-VLOOKUP(A21,'26035'!A:F,5,0)</f>
        <v>0</v>
      </c>
      <c r="J21">
        <f>F21-VLOOKUP(A21,'26035'!A:F,6,0)</f>
        <v>0</v>
      </c>
    </row>
    <row r="22" spans="1:10" ht="15.75" thickBot="1" x14ac:dyDescent="0.3">
      <c r="A22" s="4" t="s">
        <v>39</v>
      </c>
      <c r="B22" s="5" t="s">
        <v>40</v>
      </c>
      <c r="C22" s="5" t="s">
        <v>34</v>
      </c>
      <c r="D22" s="6">
        <v>46108</v>
      </c>
      <c r="E22" s="6">
        <v>46108</v>
      </c>
      <c r="F22" s="5"/>
      <c r="H22">
        <f>D22-VLOOKUP(A22,'26035'!A:F,4,0)</f>
        <v>0</v>
      </c>
      <c r="I22">
        <f>E22-VLOOKUP(A22,'26035'!A:F,5,0)</f>
        <v>0</v>
      </c>
      <c r="J22">
        <f>F22-VLOOKUP(A22,'26035'!A:F,6,0)</f>
        <v>0</v>
      </c>
    </row>
    <row r="23" spans="1:10" ht="15.75" thickBot="1" x14ac:dyDescent="0.3">
      <c r="A23" s="4" t="s">
        <v>41</v>
      </c>
      <c r="B23" s="5" t="s">
        <v>42</v>
      </c>
      <c r="C23" s="5" t="s">
        <v>34</v>
      </c>
      <c r="D23" s="6">
        <v>46108</v>
      </c>
      <c r="E23" s="6">
        <v>46108</v>
      </c>
      <c r="F23" s="5"/>
      <c r="H23">
        <f>D23-VLOOKUP(A23,'26035'!A:F,4,0)</f>
        <v>0</v>
      </c>
      <c r="I23">
        <f>E23-VLOOKUP(A23,'26035'!A:F,5,0)</f>
        <v>0</v>
      </c>
      <c r="J23">
        <f>F23-VLOOKUP(A23,'26035'!A:F,6,0)</f>
        <v>0</v>
      </c>
    </row>
    <row r="24" spans="1:10" ht="15.75" thickBot="1" x14ac:dyDescent="0.3">
      <c r="A24" s="4" t="s">
        <v>43</v>
      </c>
      <c r="B24" s="5" t="s">
        <v>44</v>
      </c>
      <c r="C24" s="5" t="s">
        <v>34</v>
      </c>
      <c r="D24" s="6">
        <v>46108</v>
      </c>
      <c r="E24" s="6">
        <v>46108</v>
      </c>
      <c r="F24" s="5"/>
      <c r="H24">
        <f>D24-VLOOKUP(A24,'26035'!A:F,4,0)</f>
        <v>0</v>
      </c>
      <c r="I24">
        <f>E24-VLOOKUP(A24,'26035'!A:F,5,0)</f>
        <v>0</v>
      </c>
      <c r="J24">
        <f>F24-VLOOKUP(A24,'26035'!A:F,6,0)</f>
        <v>0</v>
      </c>
    </row>
    <row r="25" spans="1:10" ht="15.75" thickBot="1" x14ac:dyDescent="0.3">
      <c r="A25" s="4" t="s">
        <v>45</v>
      </c>
      <c r="B25" s="5" t="s">
        <v>46</v>
      </c>
      <c r="C25" s="5" t="s">
        <v>34</v>
      </c>
      <c r="D25" s="6">
        <v>46108</v>
      </c>
      <c r="E25" s="6">
        <v>46108</v>
      </c>
      <c r="F25" s="5"/>
      <c r="H25">
        <f>D25-VLOOKUP(A25,'26035'!A:F,4,0)</f>
        <v>0</v>
      </c>
      <c r="I25">
        <f>E25-VLOOKUP(A25,'26035'!A:F,5,0)</f>
        <v>0</v>
      </c>
      <c r="J25">
        <f>F25-VLOOKUP(A25,'26035'!A:F,6,0)</f>
        <v>0</v>
      </c>
    </row>
    <row r="26" spans="1:10" ht="15.75" thickBot="1" x14ac:dyDescent="0.3">
      <c r="A26" s="4">
        <v>17</v>
      </c>
      <c r="B26" s="5" t="s">
        <v>47</v>
      </c>
      <c r="C26" s="5" t="s">
        <v>1</v>
      </c>
      <c r="D26" s="6">
        <v>46104</v>
      </c>
      <c r="E26" s="6">
        <v>46104</v>
      </c>
      <c r="F26" s="5"/>
      <c r="H26">
        <f>D26-VLOOKUP(A26,'26035'!A:F,4,0)</f>
        <v>0</v>
      </c>
      <c r="I26">
        <f>E26-VLOOKUP(A26,'26035'!A:F,5,0)</f>
        <v>0</v>
      </c>
      <c r="J26">
        <f>F26-VLOOKUP(A26,'26035'!A:F,6,0)</f>
        <v>0</v>
      </c>
    </row>
    <row r="27" spans="1:10" ht="15.75" thickBot="1" x14ac:dyDescent="0.3">
      <c r="A27" s="4">
        <v>18</v>
      </c>
      <c r="B27" s="5" t="s">
        <v>48</v>
      </c>
      <c r="C27" s="5" t="s">
        <v>34</v>
      </c>
      <c r="D27" s="6">
        <v>46113</v>
      </c>
      <c r="E27" s="6">
        <v>46113</v>
      </c>
      <c r="F27" s="5"/>
      <c r="H27">
        <f>D27-VLOOKUP(A27,'26035'!A:F,4,0)</f>
        <v>0</v>
      </c>
      <c r="I27">
        <f>E27-VLOOKUP(A27,'26035'!A:F,5,0)</f>
        <v>0</v>
      </c>
      <c r="J27">
        <f>F27-VLOOKUP(A27,'26035'!A:F,6,0)</f>
        <v>0</v>
      </c>
    </row>
    <row r="28" spans="1:10" ht="15.75" thickBot="1" x14ac:dyDescent="0.3">
      <c r="A28" s="4">
        <v>19</v>
      </c>
      <c r="B28" s="5" t="s">
        <v>49</v>
      </c>
      <c r="C28" s="5" t="s">
        <v>30</v>
      </c>
      <c r="D28" s="6">
        <v>46114</v>
      </c>
      <c r="E28" s="6">
        <v>46114</v>
      </c>
      <c r="F28" s="5"/>
      <c r="H28">
        <f>D28-VLOOKUP(A28,'26035'!A:F,4,0)</f>
        <v>0</v>
      </c>
      <c r="I28">
        <f>E28-VLOOKUP(A28,'26035'!A:F,5,0)</f>
        <v>0</v>
      </c>
      <c r="J28">
        <f>F28-VLOOKUP(A28,'26035'!A:F,6,0)</f>
        <v>0</v>
      </c>
    </row>
    <row r="29" spans="1:10" ht="15.75" thickBot="1" x14ac:dyDescent="0.3">
      <c r="A29" s="4">
        <v>20</v>
      </c>
      <c r="B29" s="5" t="s">
        <v>50</v>
      </c>
      <c r="C29" s="5" t="s">
        <v>30</v>
      </c>
      <c r="D29" s="6">
        <v>46118</v>
      </c>
      <c r="E29" s="6">
        <v>46118</v>
      </c>
      <c r="F29" s="5"/>
      <c r="H29">
        <f>D29-VLOOKUP(A29,'26035'!A:F,4,0)</f>
        <v>0</v>
      </c>
      <c r="I29">
        <f>E29-VLOOKUP(A29,'26035'!A:F,5,0)</f>
        <v>0</v>
      </c>
      <c r="J29">
        <f>F29-VLOOKUP(A29,'26035'!A:F,6,0)</f>
        <v>0</v>
      </c>
    </row>
    <row r="30" spans="1:10" ht="15.75" thickBot="1" x14ac:dyDescent="0.3">
      <c r="A30" s="4">
        <v>23</v>
      </c>
      <c r="B30" s="5" t="s">
        <v>51</v>
      </c>
      <c r="C30" s="5" t="s">
        <v>1</v>
      </c>
      <c r="D30" s="6">
        <v>46124</v>
      </c>
      <c r="E30" s="6">
        <v>46124</v>
      </c>
      <c r="F30" s="5"/>
      <c r="H30">
        <f>D30-VLOOKUP(A30,'26035'!A:F,4,0)</f>
        <v>0</v>
      </c>
      <c r="I30">
        <f>E30-VLOOKUP(A30,'26035'!A:F,5,0)</f>
        <v>0</v>
      </c>
      <c r="J30">
        <f>F30-VLOOKUP(A30,'26035'!A:F,6,0)</f>
        <v>0</v>
      </c>
    </row>
    <row r="31" spans="1:10" ht="15.75" thickBot="1" x14ac:dyDescent="0.3">
      <c r="A31" s="4">
        <v>27</v>
      </c>
      <c r="B31" s="5" t="s">
        <v>52</v>
      </c>
      <c r="C31" s="5" t="s">
        <v>30</v>
      </c>
      <c r="D31" s="6">
        <v>46137</v>
      </c>
      <c r="E31" s="6">
        <v>46137</v>
      </c>
      <c r="F31" s="5"/>
      <c r="H31">
        <f>D31-VLOOKUP(A31,'26035'!A:F,4,0)</f>
        <v>0</v>
      </c>
      <c r="I31">
        <f>E31-VLOOKUP(A31,'26035'!A:F,5,0)</f>
        <v>0</v>
      </c>
      <c r="J31">
        <f>F31-VLOOKUP(A31,'26035'!A:F,6,0)</f>
        <v>0</v>
      </c>
    </row>
    <row r="32" spans="1:10" ht="15.75" thickBot="1" x14ac:dyDescent="0.3">
      <c r="A32" s="4">
        <v>28</v>
      </c>
      <c r="B32" s="5" t="s">
        <v>53</v>
      </c>
      <c r="C32" s="5" t="s">
        <v>30</v>
      </c>
      <c r="D32" s="6">
        <v>46145</v>
      </c>
      <c r="E32" s="6">
        <v>46145</v>
      </c>
      <c r="F32" s="5"/>
      <c r="G32" s="15" t="s">
        <v>106</v>
      </c>
      <c r="H32">
        <f>D32-VLOOKUP(A32,'26035'!A:F,4,0)</f>
        <v>0</v>
      </c>
      <c r="I32">
        <f>E32-VLOOKUP(A32,'26035'!A:F,5,0)</f>
        <v>0</v>
      </c>
      <c r="J32">
        <f>F32-VLOOKUP(A32,'26035'!A:F,6,0)</f>
        <v>0</v>
      </c>
    </row>
    <row r="33" spans="1:10" ht="15.75" thickBot="1" x14ac:dyDescent="0.3">
      <c r="A33" s="4">
        <v>29</v>
      </c>
      <c r="B33" s="5" t="s">
        <v>54</v>
      </c>
      <c r="C33" s="5" t="s">
        <v>30</v>
      </c>
      <c r="D33" s="6">
        <v>46145</v>
      </c>
      <c r="E33" s="6">
        <v>46145</v>
      </c>
      <c r="F33" s="5"/>
      <c r="G33" s="15" t="s">
        <v>106</v>
      </c>
      <c r="H33">
        <f>D33-VLOOKUP(A33,'26035'!A:F,4,0)</f>
        <v>0</v>
      </c>
      <c r="I33">
        <f>E33-VLOOKUP(A33,'26035'!A:F,5,0)</f>
        <v>0</v>
      </c>
      <c r="J33">
        <f>F33-VLOOKUP(A33,'26035'!A:F,6,0)</f>
        <v>0</v>
      </c>
    </row>
    <row r="34" spans="1:10" ht="15.75" thickBot="1" x14ac:dyDescent="0.3">
      <c r="A34" s="4">
        <v>30</v>
      </c>
      <c r="B34" s="5" t="s">
        <v>55</v>
      </c>
      <c r="C34" s="5" t="s">
        <v>30</v>
      </c>
      <c r="D34" s="6">
        <v>46141</v>
      </c>
      <c r="E34" s="6">
        <v>46141</v>
      </c>
      <c r="F34" s="5"/>
      <c r="G34" s="15" t="s">
        <v>106</v>
      </c>
      <c r="H34">
        <f>D34-VLOOKUP(A34,'26035'!A:F,4,0)</f>
        <v>0</v>
      </c>
      <c r="I34">
        <f>E34-VLOOKUP(A34,'26035'!A:F,5,0)</f>
        <v>0</v>
      </c>
      <c r="J34">
        <f>F34-VLOOKUP(A34,'26035'!A:F,6,0)</f>
        <v>0</v>
      </c>
    </row>
    <row r="35" spans="1:10" ht="15.75" thickBot="1" x14ac:dyDescent="0.3">
      <c r="A35" s="4">
        <v>31</v>
      </c>
      <c r="B35" s="5" t="s">
        <v>56</v>
      </c>
      <c r="C35" s="5" t="s">
        <v>30</v>
      </c>
      <c r="D35" s="6">
        <v>46143</v>
      </c>
      <c r="E35" s="6">
        <v>46143</v>
      </c>
      <c r="F35" s="5"/>
      <c r="H35">
        <f>D35-VLOOKUP(A35,'26035'!A:F,4,0)</f>
        <v>0</v>
      </c>
      <c r="I35">
        <f>E35-VLOOKUP(A35,'26035'!A:F,5,0)</f>
        <v>0</v>
      </c>
      <c r="J35">
        <f>F35-VLOOKUP(A35,'26035'!A:F,6,0)</f>
        <v>0</v>
      </c>
    </row>
    <row r="36" spans="1:10" ht="15.75" thickBot="1" x14ac:dyDescent="0.3">
      <c r="A36" s="4" t="s">
        <v>57</v>
      </c>
      <c r="B36" s="5" t="s">
        <v>58</v>
      </c>
      <c r="C36" s="5" t="s">
        <v>30</v>
      </c>
      <c r="D36" s="6">
        <v>46143</v>
      </c>
      <c r="E36" s="6">
        <v>46139</v>
      </c>
      <c r="F36" s="5"/>
      <c r="G36" s="14" t="s">
        <v>105</v>
      </c>
      <c r="H36">
        <f>D36-VLOOKUP(A36,'26035'!A:F,4,0)</f>
        <v>0</v>
      </c>
      <c r="I36">
        <f>E36-VLOOKUP(A36,'26035'!A:F,5,0)</f>
        <v>0</v>
      </c>
      <c r="J36">
        <f>F36-VLOOKUP(A36,'26035'!A:F,6,0)</f>
        <v>0</v>
      </c>
    </row>
    <row r="37" spans="1:10" ht="15.75" thickBot="1" x14ac:dyDescent="0.3">
      <c r="A37" s="4" t="s">
        <v>59</v>
      </c>
      <c r="B37" s="5" t="s">
        <v>60</v>
      </c>
      <c r="C37" s="5" t="s">
        <v>30</v>
      </c>
      <c r="D37" s="6">
        <v>46139</v>
      </c>
      <c r="E37" s="6">
        <v>46139</v>
      </c>
      <c r="F37" s="5"/>
      <c r="H37">
        <f>D37-VLOOKUP(A37,'26035'!A:F,4,0)</f>
        <v>0</v>
      </c>
      <c r="I37">
        <f>E37-VLOOKUP(A37,'26035'!A:F,5,0)</f>
        <v>0</v>
      </c>
      <c r="J37">
        <f>F37-VLOOKUP(A37,'26035'!A:F,6,0)</f>
        <v>0</v>
      </c>
    </row>
    <row r="38" spans="1:10" ht="15.75" thickBot="1" x14ac:dyDescent="0.3">
      <c r="A38" s="4" t="s">
        <v>61</v>
      </c>
      <c r="B38" s="5" t="s">
        <v>62</v>
      </c>
      <c r="C38" s="5" t="s">
        <v>30</v>
      </c>
      <c r="D38" s="6">
        <v>46139</v>
      </c>
      <c r="E38" s="6">
        <v>46139</v>
      </c>
      <c r="F38" s="5"/>
      <c r="H38">
        <f>D38-VLOOKUP(A38,'26035'!A:F,4,0)</f>
        <v>0</v>
      </c>
      <c r="I38">
        <f>E38-VLOOKUP(A38,'26035'!A:F,5,0)</f>
        <v>0</v>
      </c>
      <c r="J38">
        <f>F38-VLOOKUP(A38,'26035'!A:F,6,0)</f>
        <v>0</v>
      </c>
    </row>
    <row r="39" spans="1:10" ht="15.75" thickBot="1" x14ac:dyDescent="0.3">
      <c r="A39" s="4" t="s">
        <v>63</v>
      </c>
      <c r="B39" s="5" t="s">
        <v>64</v>
      </c>
      <c r="C39" s="5" t="s">
        <v>30</v>
      </c>
      <c r="D39" s="6">
        <v>46139</v>
      </c>
      <c r="E39" s="6">
        <v>46139</v>
      </c>
      <c r="F39" s="5"/>
      <c r="H39">
        <f>D39-VLOOKUP(A39,'26035'!A:F,4,0)</f>
        <v>0</v>
      </c>
      <c r="I39">
        <f>E39-VLOOKUP(A39,'26035'!A:F,5,0)</f>
        <v>0</v>
      </c>
      <c r="J39">
        <f>F39-VLOOKUP(A39,'26035'!A:F,6,0)</f>
        <v>0</v>
      </c>
    </row>
    <row r="40" spans="1:10" ht="15.75" thickBot="1" x14ac:dyDescent="0.3">
      <c r="A40" s="4" t="s">
        <v>65</v>
      </c>
      <c r="B40" s="5" t="s">
        <v>66</v>
      </c>
      <c r="C40" s="5" t="s">
        <v>30</v>
      </c>
      <c r="D40" s="6">
        <v>46139</v>
      </c>
      <c r="E40" s="6">
        <v>46139</v>
      </c>
      <c r="F40" s="5"/>
      <c r="H40">
        <f>D40-VLOOKUP(A40,'26035'!A:F,4,0)</f>
        <v>0</v>
      </c>
      <c r="I40">
        <f>E40-VLOOKUP(A40,'26035'!A:F,5,0)</f>
        <v>0</v>
      </c>
      <c r="J40">
        <f>F40-VLOOKUP(A40,'26035'!A:F,6,0)</f>
        <v>0</v>
      </c>
    </row>
    <row r="41" spans="1:10" ht="15.75" thickBot="1" x14ac:dyDescent="0.3">
      <c r="A41" s="4" t="s">
        <v>67</v>
      </c>
      <c r="B41" s="5" t="s">
        <v>68</v>
      </c>
      <c r="C41" s="5" t="s">
        <v>30</v>
      </c>
      <c r="D41" s="6">
        <v>46139</v>
      </c>
      <c r="E41" s="6">
        <v>46139</v>
      </c>
      <c r="F41" s="5"/>
      <c r="H41">
        <f>D41-VLOOKUP(A41,'26035'!A:F,4,0)</f>
        <v>0</v>
      </c>
      <c r="I41">
        <f>E41-VLOOKUP(A41,'26035'!A:F,5,0)</f>
        <v>0</v>
      </c>
      <c r="J41">
        <f>F41-VLOOKUP(A41,'26035'!A:F,6,0)</f>
        <v>0</v>
      </c>
    </row>
    <row r="42" spans="1:10" ht="15.75" thickBot="1" x14ac:dyDescent="0.3">
      <c r="A42" s="4" t="s">
        <v>69</v>
      </c>
      <c r="B42" s="5" t="s">
        <v>70</v>
      </c>
      <c r="C42" s="5" t="s">
        <v>30</v>
      </c>
      <c r="D42" s="6">
        <v>46139</v>
      </c>
      <c r="E42" s="6">
        <v>46139</v>
      </c>
      <c r="F42" s="5"/>
      <c r="H42">
        <f>D42-VLOOKUP(A42,'26035'!A:F,4,0)</f>
        <v>0</v>
      </c>
      <c r="I42">
        <f>E42-VLOOKUP(A42,'26035'!A:F,5,0)</f>
        <v>0</v>
      </c>
      <c r="J42">
        <f>F42-VLOOKUP(A42,'26035'!A:F,6,0)</f>
        <v>0</v>
      </c>
    </row>
    <row r="43" spans="1:10" ht="15.75" thickBot="1" x14ac:dyDescent="0.3">
      <c r="A43" s="4">
        <v>33</v>
      </c>
      <c r="B43" s="5" t="s">
        <v>71</v>
      </c>
      <c r="C43" s="5" t="s">
        <v>14</v>
      </c>
      <c r="D43" s="6">
        <v>46149</v>
      </c>
      <c r="E43" s="6">
        <v>46147</v>
      </c>
      <c r="F43" s="5"/>
      <c r="G43" s="14" t="s">
        <v>105</v>
      </c>
      <c r="H43">
        <f>D43-VLOOKUP(A43,'26035'!A:F,4,0)</f>
        <v>0</v>
      </c>
      <c r="I43">
        <f>E43-VLOOKUP(A43,'26035'!A:F,5,0)</f>
        <v>0</v>
      </c>
      <c r="J43">
        <f>F43-VLOOKUP(A43,'26035'!A:F,6,0)</f>
        <v>0</v>
      </c>
    </row>
    <row r="44" spans="1:10" ht="15.75" thickBot="1" x14ac:dyDescent="0.3">
      <c r="A44" s="7" t="s">
        <v>72</v>
      </c>
      <c r="B44" s="8" t="s">
        <v>73</v>
      </c>
      <c r="C44" s="8" t="s">
        <v>14</v>
      </c>
      <c r="D44" s="9">
        <v>46147</v>
      </c>
      <c r="E44" s="9">
        <v>46147</v>
      </c>
      <c r="F44" s="8"/>
      <c r="H44">
        <f>D44-VLOOKUP(A44,'26035'!A:F,4,0)</f>
        <v>0</v>
      </c>
      <c r="I44">
        <f>E44-VLOOKUP(A44,'26035'!A:F,5,0)</f>
        <v>0</v>
      </c>
      <c r="J44">
        <f>F44-VLOOKUP(A44,'26035'!A:F,6,0)</f>
        <v>0</v>
      </c>
    </row>
    <row r="45" spans="1:10" ht="15.75" thickBot="1" x14ac:dyDescent="0.3">
      <c r="A45" s="4" t="s">
        <v>74</v>
      </c>
      <c r="B45" s="5" t="s">
        <v>75</v>
      </c>
      <c r="C45" s="5" t="s">
        <v>14</v>
      </c>
      <c r="D45" s="6">
        <v>46147</v>
      </c>
      <c r="E45" s="6">
        <v>46147</v>
      </c>
      <c r="F45" s="5"/>
      <c r="H45">
        <f>D45-VLOOKUP(A45,'26035'!A:F,4,0)</f>
        <v>0</v>
      </c>
      <c r="I45">
        <f>E45-VLOOKUP(A45,'26035'!A:F,5,0)</f>
        <v>0</v>
      </c>
      <c r="J45">
        <f>F45-VLOOKUP(A45,'26035'!A:F,6,0)</f>
        <v>0</v>
      </c>
    </row>
    <row r="46" spans="1:10" ht="15.75" thickBot="1" x14ac:dyDescent="0.3">
      <c r="A46" s="4" t="s">
        <v>76</v>
      </c>
      <c r="B46" s="5" t="s">
        <v>77</v>
      </c>
      <c r="C46" s="5" t="s">
        <v>14</v>
      </c>
      <c r="D46" s="6">
        <v>46147</v>
      </c>
      <c r="E46" s="6">
        <v>46147</v>
      </c>
      <c r="F46" s="5"/>
      <c r="H46">
        <f>D46-VLOOKUP(A46,'26035'!A:F,4,0)</f>
        <v>0</v>
      </c>
      <c r="I46">
        <f>E46-VLOOKUP(A46,'26035'!A:F,5,0)</f>
        <v>0</v>
      </c>
      <c r="J46">
        <f>F46-VLOOKUP(A46,'26035'!A:F,6,0)</f>
        <v>0</v>
      </c>
    </row>
    <row r="47" spans="1:10" ht="15.75" thickBot="1" x14ac:dyDescent="0.3">
      <c r="A47" s="4" t="s">
        <v>78</v>
      </c>
      <c r="B47" s="5" t="s">
        <v>79</v>
      </c>
      <c r="C47" s="5" t="s">
        <v>14</v>
      </c>
      <c r="D47" s="6">
        <v>46147</v>
      </c>
      <c r="E47" s="6">
        <v>46147</v>
      </c>
      <c r="F47" s="5"/>
      <c r="H47">
        <f>D47-VLOOKUP(A47,'26035'!A:F,4,0)</f>
        <v>0</v>
      </c>
      <c r="I47">
        <f>E47-VLOOKUP(A47,'26035'!A:F,5,0)</f>
        <v>0</v>
      </c>
      <c r="J47">
        <f>F47-VLOOKUP(A47,'26035'!A:F,6,0)</f>
        <v>0</v>
      </c>
    </row>
    <row r="48" spans="1:10" ht="15.75" thickBot="1" x14ac:dyDescent="0.3">
      <c r="A48" s="4" t="s">
        <v>80</v>
      </c>
      <c r="B48" s="5" t="s">
        <v>81</v>
      </c>
      <c r="C48" s="5" t="s">
        <v>14</v>
      </c>
      <c r="D48" s="6">
        <v>46147</v>
      </c>
      <c r="E48" s="6">
        <v>46147</v>
      </c>
      <c r="F48" s="5"/>
      <c r="H48">
        <f>D48-VLOOKUP(A48,'26035'!A:F,4,0)</f>
        <v>0</v>
      </c>
      <c r="I48">
        <f>E48-VLOOKUP(A48,'26035'!A:F,5,0)</f>
        <v>0</v>
      </c>
      <c r="J48">
        <f>F48-VLOOKUP(A48,'26035'!A:F,6,0)</f>
        <v>0</v>
      </c>
    </row>
    <row r="49" spans="1:10" ht="15.75" thickBot="1" x14ac:dyDescent="0.3">
      <c r="A49" s="4" t="s">
        <v>82</v>
      </c>
      <c r="B49" s="5" t="s">
        <v>83</v>
      </c>
      <c r="C49" s="5" t="s">
        <v>14</v>
      </c>
      <c r="D49" s="6">
        <v>46147</v>
      </c>
      <c r="E49" s="6">
        <v>46147</v>
      </c>
      <c r="F49" s="5"/>
      <c r="H49">
        <f>D49-VLOOKUP(A49,'26035'!A:F,4,0)</f>
        <v>0</v>
      </c>
      <c r="I49">
        <f>E49-VLOOKUP(A49,'26035'!A:F,5,0)</f>
        <v>0</v>
      </c>
      <c r="J49">
        <f>F49-VLOOKUP(A49,'26035'!A:F,6,0)</f>
        <v>0</v>
      </c>
    </row>
    <row r="50" spans="1:10" ht="15.75" thickBot="1" x14ac:dyDescent="0.3">
      <c r="A50" s="4" t="s">
        <v>84</v>
      </c>
      <c r="B50" s="5" t="s">
        <v>85</v>
      </c>
      <c r="C50" s="5" t="s">
        <v>14</v>
      </c>
      <c r="D50" s="6">
        <v>46147</v>
      </c>
      <c r="E50" s="6">
        <v>46147</v>
      </c>
      <c r="F50" s="5"/>
      <c r="H50">
        <f>D50-VLOOKUP(A50,'26035'!A:F,4,0)</f>
        <v>0</v>
      </c>
      <c r="I50">
        <f>E50-VLOOKUP(A50,'26035'!A:F,5,0)</f>
        <v>0</v>
      </c>
      <c r="J50">
        <f>F50-VLOOKUP(A50,'26035'!A:F,6,0)</f>
        <v>0</v>
      </c>
    </row>
    <row r="51" spans="1:10" ht="15.75" thickBot="1" x14ac:dyDescent="0.3">
      <c r="A51" s="4">
        <v>34</v>
      </c>
      <c r="B51" s="5" t="s">
        <v>86</v>
      </c>
      <c r="C51" s="5" t="s">
        <v>1</v>
      </c>
      <c r="D51" s="6">
        <v>46156</v>
      </c>
      <c r="E51" s="6">
        <v>46156</v>
      </c>
      <c r="F51" s="5"/>
      <c r="H51">
        <f>D51-VLOOKUP(A51,'26035'!A:F,4,0)</f>
        <v>0</v>
      </c>
      <c r="I51">
        <f>E51-VLOOKUP(A51,'26035'!A:F,5,0)</f>
        <v>0</v>
      </c>
      <c r="J51">
        <f>F51-VLOOKUP(A51,'26035'!A:F,6,0)</f>
        <v>0</v>
      </c>
    </row>
    <row r="52" spans="1:10" ht="15.75" thickBot="1" x14ac:dyDescent="0.3">
      <c r="A52" s="4">
        <v>35</v>
      </c>
      <c r="B52" s="5" t="s">
        <v>87</v>
      </c>
      <c r="C52" s="5" t="s">
        <v>88</v>
      </c>
      <c r="D52" s="6">
        <v>46156</v>
      </c>
      <c r="E52" s="6">
        <v>46172</v>
      </c>
      <c r="F52" s="6">
        <v>46128</v>
      </c>
      <c r="H52">
        <f>D52-VLOOKUP(A52,'26035'!A:F,4,0)</f>
        <v>0</v>
      </c>
      <c r="I52">
        <f>E52-VLOOKUP(A52,'26035'!A:F,5,0)</f>
        <v>0</v>
      </c>
      <c r="J52">
        <f>F52-VLOOKUP(A52,'26035'!A:F,6,0)</f>
        <v>0</v>
      </c>
    </row>
    <row r="53" spans="1:10" ht="15.75" thickBot="1" x14ac:dyDescent="0.3">
      <c r="A53" s="4">
        <v>36</v>
      </c>
      <c r="B53" s="5" t="s">
        <v>89</v>
      </c>
      <c r="C53" s="5" t="s">
        <v>30</v>
      </c>
      <c r="D53" s="6">
        <v>46154</v>
      </c>
      <c r="E53" s="6">
        <v>46154</v>
      </c>
      <c r="F53" s="5"/>
      <c r="H53">
        <f>D53-VLOOKUP(A53,'26035'!A:F,4,0)</f>
        <v>0</v>
      </c>
      <c r="I53">
        <f>E53-VLOOKUP(A53,'26035'!A:F,5,0)</f>
        <v>0</v>
      </c>
      <c r="J53">
        <f>F53-VLOOKUP(A53,'26035'!A:F,6,0)</f>
        <v>0</v>
      </c>
    </row>
    <row r="54" spans="1:10" ht="15.75" thickBot="1" x14ac:dyDescent="0.3">
      <c r="A54" s="4">
        <v>37</v>
      </c>
      <c r="B54" s="5" t="s">
        <v>90</v>
      </c>
      <c r="C54" s="5" t="s">
        <v>30</v>
      </c>
      <c r="D54" s="6">
        <v>46156</v>
      </c>
      <c r="E54" s="6">
        <v>46156</v>
      </c>
      <c r="F54" s="5"/>
      <c r="G54" s="14" t="s">
        <v>105</v>
      </c>
      <c r="H54">
        <f>D54-VLOOKUP(A54,'26035'!A:F,4,0)</f>
        <v>0</v>
      </c>
      <c r="I54">
        <f>E54-VLOOKUP(A54,'26035'!A:F,5,0)</f>
        <v>0</v>
      </c>
      <c r="J54">
        <f>F54-VLOOKUP(A54,'26035'!A:F,6,0)</f>
        <v>0</v>
      </c>
    </row>
    <row r="55" spans="1:10" ht="15.75" thickBot="1" x14ac:dyDescent="0.3">
      <c r="A55" s="4" t="s">
        <v>91</v>
      </c>
      <c r="B55" s="5" t="s">
        <v>92</v>
      </c>
      <c r="C55" s="5" t="s">
        <v>3</v>
      </c>
      <c r="D55" s="6">
        <v>46165</v>
      </c>
      <c r="E55" s="6">
        <v>46165</v>
      </c>
      <c r="F55" s="5"/>
      <c r="G55" s="14" t="s">
        <v>105</v>
      </c>
      <c r="H55">
        <f>D55-VLOOKUP(A55,'26035'!A:F,4,0)</f>
        <v>0</v>
      </c>
      <c r="I55">
        <f>E55-VLOOKUP(A55,'26035'!A:F,5,0)</f>
        <v>0</v>
      </c>
      <c r="J55">
        <f>F55-VLOOKUP(A55,'26035'!A:F,6,0)</f>
        <v>0</v>
      </c>
    </row>
    <row r="56" spans="1:10" ht="15.75" thickBot="1" x14ac:dyDescent="0.3">
      <c r="A56" s="4">
        <v>39</v>
      </c>
      <c r="B56" s="5" t="s">
        <v>93</v>
      </c>
      <c r="C56" s="5" t="s">
        <v>3</v>
      </c>
      <c r="D56" s="6">
        <v>46167</v>
      </c>
      <c r="E56" s="6">
        <v>46167</v>
      </c>
      <c r="F56" s="5"/>
      <c r="G56" s="16" t="s">
        <v>104</v>
      </c>
      <c r="H56">
        <f>D56-VLOOKUP(A56,'26035'!A:F,4,0)</f>
        <v>0</v>
      </c>
      <c r="I56">
        <f>E56-VLOOKUP(A56,'26035'!A:F,5,0)</f>
        <v>0</v>
      </c>
      <c r="J56">
        <f>F56-VLOOKUP(A56,'26035'!A:F,6,0)</f>
        <v>0</v>
      </c>
    </row>
    <row r="57" spans="1:10" ht="15.75" thickBot="1" x14ac:dyDescent="0.3">
      <c r="A57" s="4" t="s">
        <v>94</v>
      </c>
      <c r="B57" s="5" t="s">
        <v>95</v>
      </c>
      <c r="C57" s="5" t="s">
        <v>3</v>
      </c>
      <c r="D57" s="6">
        <v>46171</v>
      </c>
      <c r="E57" s="6">
        <v>46171</v>
      </c>
      <c r="F57" s="5"/>
      <c r="H57">
        <f>D57-VLOOKUP(A57,'26035'!A:F,4,0)</f>
        <v>0</v>
      </c>
      <c r="I57">
        <f>E57-VLOOKUP(A57,'26035'!A:F,5,0)</f>
        <v>0</v>
      </c>
      <c r="J57">
        <f>F57-VLOOKUP(A57,'26035'!A:F,6,0)</f>
        <v>0</v>
      </c>
    </row>
    <row r="58" spans="1:10" ht="15.75" thickBot="1" x14ac:dyDescent="0.3">
      <c r="A58" s="10" t="s">
        <v>96</v>
      </c>
      <c r="B58" s="11" t="s">
        <v>97</v>
      </c>
      <c r="C58" s="11" t="s">
        <v>5</v>
      </c>
      <c r="D58" s="12">
        <v>46096</v>
      </c>
      <c r="E58" s="12">
        <v>46096</v>
      </c>
      <c r="F58" s="11"/>
      <c r="H58">
        <f>D58-VLOOKUP(A58,'26035'!A:F,4,0)</f>
        <v>0</v>
      </c>
      <c r="I58">
        <f>E58-VLOOKUP(A58,'26035'!A:F,5,0)</f>
        <v>0</v>
      </c>
      <c r="J58">
        <f>F58-VLOOKUP(A58,'26035'!A:F,6,0)</f>
        <v>0</v>
      </c>
    </row>
  </sheetData>
  <autoFilter ref="A1:J58" xr:uid="{091CD8ED-919E-4201-9620-E3042FC90D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8CA0-8B44-45C0-8FFE-F40C3281B0C9}">
  <sheetPr codeName="Sheet4"/>
  <dimension ref="A1:K58"/>
  <sheetViews>
    <sheetView workbookViewId="0">
      <pane ySplit="1" topLeftCell="A30" activePane="bottomLeft" state="frozen"/>
      <selection pane="bottomLeft" activeCell="B49" sqref="B49"/>
    </sheetView>
  </sheetViews>
  <sheetFormatPr defaultRowHeight="15" x14ac:dyDescent="0.25"/>
  <cols>
    <col min="1" max="1" width="26.7109375" bestFit="1" customWidth="1"/>
    <col min="2" max="2" width="60.5703125" bestFit="1" customWidth="1"/>
    <col min="3" max="3" width="41.140625" bestFit="1" customWidth="1"/>
    <col min="4" max="4" width="16.28515625" bestFit="1" customWidth="1"/>
    <col min="5" max="5" width="21.140625" bestFit="1" customWidth="1"/>
    <col min="6" max="6" width="17.42578125" bestFit="1" customWidth="1"/>
    <col min="7" max="7" width="9.42578125" style="13" bestFit="1" customWidth="1"/>
    <col min="8" max="8" width="10.5703125" bestFit="1" customWidth="1"/>
    <col min="9" max="10" width="11.85546875" bestFit="1" customWidth="1"/>
  </cols>
  <sheetData>
    <row r="1" spans="1:10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s="13" t="s">
        <v>109</v>
      </c>
      <c r="H1" t="s">
        <v>110</v>
      </c>
      <c r="I1" t="s">
        <v>111</v>
      </c>
      <c r="J1" t="s">
        <v>112</v>
      </c>
    </row>
    <row r="2" spans="1:10" ht="15.75" thickBot="1" x14ac:dyDescent="0.3">
      <c r="A2" s="1">
        <v>1</v>
      </c>
      <c r="B2" s="2" t="s">
        <v>0</v>
      </c>
      <c r="C2" s="2" t="s">
        <v>1</v>
      </c>
      <c r="D2" s="3">
        <v>46089</v>
      </c>
      <c r="E2" s="3">
        <v>46089</v>
      </c>
      <c r="F2" s="2"/>
      <c r="H2">
        <f>D2-VLOOKUP(A2,'26035'!A:F,4,0)</f>
        <v>0</v>
      </c>
      <c r="I2">
        <f>E2-VLOOKUP(A2,'26035'!A:F,5,0)</f>
        <v>0</v>
      </c>
      <c r="J2">
        <f>F2-VLOOKUP(A2,'26035'!A:F,6,0)</f>
        <v>0</v>
      </c>
    </row>
    <row r="3" spans="1:10" ht="15.75" thickBot="1" x14ac:dyDescent="0.3">
      <c r="A3" s="4">
        <v>3</v>
      </c>
      <c r="B3" s="5" t="s">
        <v>2</v>
      </c>
      <c r="C3" s="5" t="s">
        <v>3</v>
      </c>
      <c r="D3" s="6">
        <v>46094</v>
      </c>
      <c r="E3" s="6">
        <v>46094</v>
      </c>
      <c r="F3" s="5"/>
      <c r="H3">
        <f>D3-VLOOKUP(A3,'26035'!A:F,4,0)</f>
        <v>0</v>
      </c>
      <c r="I3">
        <f>E3-VLOOKUP(A3,'26035'!A:F,5,0)</f>
        <v>0</v>
      </c>
      <c r="J3">
        <f>F3-VLOOKUP(A3,'26035'!A:F,6,0)</f>
        <v>0</v>
      </c>
    </row>
    <row r="4" spans="1:10" ht="15.75" thickBot="1" x14ac:dyDescent="0.3">
      <c r="A4" s="4">
        <v>4</v>
      </c>
      <c r="B4" s="5" t="s">
        <v>4</v>
      </c>
      <c r="C4" s="5" t="s">
        <v>5</v>
      </c>
      <c r="D4" s="6">
        <v>46096</v>
      </c>
      <c r="E4" s="6">
        <v>46096</v>
      </c>
      <c r="F4" s="6">
        <v>46096</v>
      </c>
      <c r="G4" s="18" t="s">
        <v>108</v>
      </c>
      <c r="H4">
        <f>D4-VLOOKUP(A4,'26035'!A:F,4,0)</f>
        <v>0</v>
      </c>
      <c r="I4">
        <f>E4-VLOOKUP(A4,'26035'!A:F,5,0)</f>
        <v>0</v>
      </c>
      <c r="J4">
        <f>F4-VLOOKUP(A4,'26035'!A:F,6,0)</f>
        <v>0</v>
      </c>
    </row>
    <row r="5" spans="1:10" ht="15.75" thickBot="1" x14ac:dyDescent="0.3">
      <c r="A5" s="4">
        <v>5</v>
      </c>
      <c r="B5" s="5" t="s">
        <v>6</v>
      </c>
      <c r="C5" s="5" t="s">
        <v>3</v>
      </c>
      <c r="D5" s="6">
        <v>46103</v>
      </c>
      <c r="E5" s="6">
        <v>46103</v>
      </c>
      <c r="F5" s="5"/>
      <c r="H5">
        <f>D5-VLOOKUP(A5,'26035'!A:F,4,0)</f>
        <v>0</v>
      </c>
      <c r="I5">
        <f>E5-VLOOKUP(A5,'26035'!A:F,5,0)</f>
        <v>0</v>
      </c>
      <c r="J5">
        <f>F5-VLOOKUP(A5,'26035'!A:F,6,0)</f>
        <v>0</v>
      </c>
    </row>
    <row r="6" spans="1:10" ht="15.75" thickBot="1" x14ac:dyDescent="0.3">
      <c r="A6" s="4" t="s">
        <v>7</v>
      </c>
      <c r="B6" s="5" t="s">
        <v>8</v>
      </c>
      <c r="C6" s="5" t="s">
        <v>3</v>
      </c>
      <c r="D6" s="6">
        <v>46107</v>
      </c>
      <c r="E6" s="6">
        <v>46107</v>
      </c>
      <c r="F6" s="5"/>
      <c r="H6">
        <f>D6-VLOOKUP(A6,'26035'!A:F,4,0)</f>
        <v>0</v>
      </c>
      <c r="I6">
        <f>E6-VLOOKUP(A6,'26035'!A:F,5,0)</f>
        <v>0</v>
      </c>
      <c r="J6">
        <f>F6-VLOOKUP(A6,'26035'!A:F,6,0)</f>
        <v>0</v>
      </c>
    </row>
    <row r="7" spans="1:10" ht="15.75" thickBot="1" x14ac:dyDescent="0.3">
      <c r="A7" s="4">
        <v>7</v>
      </c>
      <c r="B7" s="5" t="s">
        <v>9</v>
      </c>
      <c r="C7" s="5" t="s">
        <v>10</v>
      </c>
      <c r="D7" s="6">
        <v>46114</v>
      </c>
      <c r="E7" s="6">
        <v>46114</v>
      </c>
      <c r="F7" s="5"/>
      <c r="H7">
        <f>D7-VLOOKUP(A7,'26035'!A:F,4,0)</f>
        <v>0</v>
      </c>
      <c r="I7">
        <f>E7-VLOOKUP(A7,'26035'!A:F,5,0)</f>
        <v>0</v>
      </c>
      <c r="J7">
        <f>F7-VLOOKUP(A7,'26035'!A:F,6,0)</f>
        <v>0</v>
      </c>
    </row>
    <row r="8" spans="1:10" ht="15.75" thickBot="1" x14ac:dyDescent="0.3">
      <c r="A8" s="4" t="s">
        <v>11</v>
      </c>
      <c r="B8" s="5" t="s">
        <v>12</v>
      </c>
      <c r="C8" s="5" t="s">
        <v>3</v>
      </c>
      <c r="D8" s="6">
        <v>46109</v>
      </c>
      <c r="E8" s="6">
        <v>46109</v>
      </c>
      <c r="F8" s="5"/>
      <c r="H8">
        <f>D8-VLOOKUP(A8,'26035'!A:F,4,0)</f>
        <v>0</v>
      </c>
      <c r="I8">
        <f>E8-VLOOKUP(A8,'26035'!A:F,5,0)</f>
        <v>0</v>
      </c>
      <c r="J8">
        <f>F8-VLOOKUP(A8,'26035'!A:F,6,0)</f>
        <v>0</v>
      </c>
    </row>
    <row r="9" spans="1:10" ht="15.75" thickBot="1" x14ac:dyDescent="0.3">
      <c r="A9" s="4">
        <v>9</v>
      </c>
      <c r="B9" s="5" t="s">
        <v>13</v>
      </c>
      <c r="C9" s="5" t="s">
        <v>14</v>
      </c>
      <c r="D9" s="6">
        <v>46109</v>
      </c>
      <c r="E9" s="6">
        <v>46109</v>
      </c>
      <c r="F9" s="5"/>
      <c r="H9">
        <f>D9-VLOOKUP(A9,'26035'!A:F,4,0)</f>
        <v>0</v>
      </c>
      <c r="I9">
        <f>E9-VLOOKUP(A9,'26035'!A:F,5,0)</f>
        <v>0</v>
      </c>
      <c r="J9">
        <f>F9-VLOOKUP(A9,'26035'!A:F,6,0)</f>
        <v>0</v>
      </c>
    </row>
    <row r="10" spans="1:10" ht="15.75" thickBot="1" x14ac:dyDescent="0.3">
      <c r="A10" s="4" t="s">
        <v>15</v>
      </c>
      <c r="B10" s="5" t="s">
        <v>16</v>
      </c>
      <c r="C10" s="5" t="s">
        <v>14</v>
      </c>
      <c r="D10" s="6">
        <v>46109</v>
      </c>
      <c r="E10" s="6">
        <v>46109</v>
      </c>
      <c r="F10" s="5"/>
      <c r="H10">
        <f>D10-VLOOKUP(A10,'26035'!A:F,4,0)</f>
        <v>0</v>
      </c>
      <c r="I10">
        <f>E10-VLOOKUP(A10,'26035'!A:F,5,0)</f>
        <v>0</v>
      </c>
      <c r="J10">
        <f>F10-VLOOKUP(A10,'26035'!A:F,6,0)</f>
        <v>0</v>
      </c>
    </row>
    <row r="11" spans="1:10" ht="15.75" thickBot="1" x14ac:dyDescent="0.3">
      <c r="A11" s="4" t="s">
        <v>17</v>
      </c>
      <c r="B11" s="5" t="s">
        <v>18</v>
      </c>
      <c r="C11" s="5" t="s">
        <v>14</v>
      </c>
      <c r="D11" s="6">
        <v>46109</v>
      </c>
      <c r="E11" s="6">
        <v>46109</v>
      </c>
      <c r="F11" s="5"/>
      <c r="H11">
        <f>D11-VLOOKUP(A11,'26035'!A:F,4,0)</f>
        <v>0</v>
      </c>
      <c r="I11">
        <f>E11-VLOOKUP(A11,'26035'!A:F,5,0)</f>
        <v>0</v>
      </c>
      <c r="J11">
        <f>F11-VLOOKUP(A11,'26035'!A:F,6,0)</f>
        <v>0</v>
      </c>
    </row>
    <row r="12" spans="1:10" ht="15.75" thickBot="1" x14ac:dyDescent="0.3">
      <c r="A12" s="4" t="s">
        <v>19</v>
      </c>
      <c r="B12" s="5" t="s">
        <v>20</v>
      </c>
      <c r="C12" s="5" t="s">
        <v>14</v>
      </c>
      <c r="D12" s="6">
        <v>46109</v>
      </c>
      <c r="E12" s="6">
        <v>46109</v>
      </c>
      <c r="F12" s="5"/>
      <c r="H12">
        <f>D12-VLOOKUP(A12,'26035'!A:F,4,0)</f>
        <v>0</v>
      </c>
      <c r="I12">
        <f>E12-VLOOKUP(A12,'26035'!A:F,5,0)</f>
        <v>0</v>
      </c>
      <c r="J12">
        <f>F12-VLOOKUP(A12,'26035'!A:F,6,0)</f>
        <v>0</v>
      </c>
    </row>
    <row r="13" spans="1:10" ht="15.75" thickBot="1" x14ac:dyDescent="0.3">
      <c r="A13" s="4" t="s">
        <v>21</v>
      </c>
      <c r="B13" s="5" t="s">
        <v>22</v>
      </c>
      <c r="C13" s="5" t="s">
        <v>14</v>
      </c>
      <c r="D13" s="6">
        <v>46109</v>
      </c>
      <c r="E13" s="6">
        <v>46109</v>
      </c>
      <c r="F13" s="5"/>
      <c r="H13">
        <f>D13-VLOOKUP(A13,'26035'!A:F,4,0)</f>
        <v>0</v>
      </c>
      <c r="I13">
        <f>E13-VLOOKUP(A13,'26035'!A:F,5,0)</f>
        <v>0</v>
      </c>
      <c r="J13">
        <f>F13-VLOOKUP(A13,'26035'!A:F,6,0)</f>
        <v>0</v>
      </c>
    </row>
    <row r="14" spans="1:10" ht="15.75" thickBot="1" x14ac:dyDescent="0.3">
      <c r="A14" s="4" t="s">
        <v>23</v>
      </c>
      <c r="B14" s="5" t="s">
        <v>24</v>
      </c>
      <c r="C14" s="5" t="s">
        <v>14</v>
      </c>
      <c r="D14" s="6">
        <v>46109</v>
      </c>
      <c r="E14" s="6">
        <v>46109</v>
      </c>
      <c r="F14" s="5"/>
      <c r="H14">
        <f>D14-VLOOKUP(A14,'26035'!A:F,4,0)</f>
        <v>0</v>
      </c>
      <c r="I14">
        <f>E14-VLOOKUP(A14,'26035'!A:F,5,0)</f>
        <v>0</v>
      </c>
      <c r="J14">
        <f>F14-VLOOKUP(A14,'26035'!A:F,6,0)</f>
        <v>0</v>
      </c>
    </row>
    <row r="15" spans="1:10" ht="15.75" thickBot="1" x14ac:dyDescent="0.3">
      <c r="A15" s="4" t="s">
        <v>25</v>
      </c>
      <c r="B15" s="5" t="s">
        <v>26</v>
      </c>
      <c r="C15" s="5" t="s">
        <v>14</v>
      </c>
      <c r="D15" s="6">
        <v>46109</v>
      </c>
      <c r="E15" s="6">
        <v>46109</v>
      </c>
      <c r="F15" s="5"/>
      <c r="H15">
        <f>D15-VLOOKUP(A15,'26035'!A:F,4,0)</f>
        <v>0</v>
      </c>
      <c r="I15">
        <f>E15-VLOOKUP(A15,'26035'!A:F,5,0)</f>
        <v>0</v>
      </c>
      <c r="J15">
        <f>F15-VLOOKUP(A15,'26035'!A:F,6,0)</f>
        <v>0</v>
      </c>
    </row>
    <row r="16" spans="1:10" ht="15.75" thickBot="1" x14ac:dyDescent="0.3">
      <c r="A16" s="4" t="s">
        <v>27</v>
      </c>
      <c r="B16" s="5" t="s">
        <v>28</v>
      </c>
      <c r="C16" s="5" t="s">
        <v>14</v>
      </c>
      <c r="D16" s="6">
        <v>46108</v>
      </c>
      <c r="E16" s="6">
        <v>46108</v>
      </c>
      <c r="F16" s="5"/>
      <c r="H16">
        <f>D16-VLOOKUP(A16,'26035'!A:F,4,0)</f>
        <v>0</v>
      </c>
      <c r="I16">
        <f>E16-VLOOKUP(A16,'26035'!A:F,5,0)</f>
        <v>0</v>
      </c>
      <c r="J16">
        <f>F16-VLOOKUP(A16,'26035'!A:F,6,0)</f>
        <v>0</v>
      </c>
    </row>
    <row r="17" spans="1:11" ht="15.75" thickBot="1" x14ac:dyDescent="0.3">
      <c r="A17" s="4">
        <v>13</v>
      </c>
      <c r="B17" s="5" t="s">
        <v>29</v>
      </c>
      <c r="C17" s="5" t="s">
        <v>30</v>
      </c>
      <c r="D17" s="6">
        <v>46109</v>
      </c>
      <c r="E17" s="6">
        <v>46109</v>
      </c>
      <c r="F17" s="5"/>
      <c r="H17">
        <f>D17-VLOOKUP(A17,'26035'!A:F,4,0)</f>
        <v>0</v>
      </c>
      <c r="I17">
        <f>E17-VLOOKUP(A17,'26035'!A:F,5,0)</f>
        <v>0</v>
      </c>
      <c r="J17">
        <f>F17-VLOOKUP(A17,'26035'!A:F,6,0)</f>
        <v>0</v>
      </c>
    </row>
    <row r="18" spans="1:11" ht="15.75" thickBot="1" x14ac:dyDescent="0.3">
      <c r="A18" s="4">
        <v>14</v>
      </c>
      <c r="B18" s="5" t="s">
        <v>31</v>
      </c>
      <c r="C18" s="5" t="s">
        <v>10</v>
      </c>
      <c r="D18" s="6">
        <v>46115</v>
      </c>
      <c r="E18" s="6">
        <v>46115</v>
      </c>
      <c r="F18" s="5"/>
      <c r="H18">
        <f>D18-VLOOKUP(A18,'26035'!A:F,4,0)</f>
        <v>0</v>
      </c>
      <c r="I18">
        <f>E18-VLOOKUP(A18,'26035'!A:F,5,0)</f>
        <v>0</v>
      </c>
      <c r="J18">
        <f>F18-VLOOKUP(A18,'26035'!A:F,6,0)</f>
        <v>0</v>
      </c>
    </row>
    <row r="19" spans="1:11" ht="15.75" thickBot="1" x14ac:dyDescent="0.3">
      <c r="A19" s="4" t="s">
        <v>32</v>
      </c>
      <c r="B19" s="5" t="s">
        <v>33</v>
      </c>
      <c r="C19" s="5" t="s">
        <v>34</v>
      </c>
      <c r="D19" s="6">
        <v>46108</v>
      </c>
      <c r="E19" s="6">
        <v>46108</v>
      </c>
      <c r="F19" s="5"/>
      <c r="G19" s="17" t="s">
        <v>107</v>
      </c>
      <c r="H19">
        <f>D19-VLOOKUP(A19,'26035'!A:F,4,0)</f>
        <v>0</v>
      </c>
      <c r="I19">
        <f>E19-VLOOKUP(A19,'26035'!A:F,5,0)</f>
        <v>0</v>
      </c>
      <c r="J19">
        <f>F19-VLOOKUP(A19,'26035'!A:F,6,0)</f>
        <v>0</v>
      </c>
    </row>
    <row r="20" spans="1:11" ht="15.75" thickBot="1" x14ac:dyDescent="0.3">
      <c r="A20" s="4" t="s">
        <v>35</v>
      </c>
      <c r="B20" s="5" t="s">
        <v>36</v>
      </c>
      <c r="C20" s="5" t="s">
        <v>34</v>
      </c>
      <c r="D20" s="6">
        <v>46108</v>
      </c>
      <c r="E20" s="6">
        <v>46108</v>
      </c>
      <c r="F20" s="5"/>
      <c r="H20">
        <f>D20-VLOOKUP(A20,'26035'!A:F,4,0)</f>
        <v>0</v>
      </c>
      <c r="I20">
        <f>E20-VLOOKUP(A20,'26035'!A:F,5,0)</f>
        <v>0</v>
      </c>
      <c r="J20">
        <f>F20-VLOOKUP(A20,'26035'!A:F,6,0)</f>
        <v>0</v>
      </c>
    </row>
    <row r="21" spans="1:11" ht="15.75" thickBot="1" x14ac:dyDescent="0.3">
      <c r="A21" s="4" t="s">
        <v>37</v>
      </c>
      <c r="B21" s="5" t="s">
        <v>38</v>
      </c>
      <c r="C21" s="5" t="s">
        <v>34</v>
      </c>
      <c r="D21" s="6">
        <v>46108</v>
      </c>
      <c r="E21" s="6">
        <v>46108</v>
      </c>
      <c r="F21" s="5"/>
      <c r="H21">
        <f>D21-VLOOKUP(A21,'26035'!A:F,4,0)</f>
        <v>0</v>
      </c>
      <c r="I21">
        <f>E21-VLOOKUP(A21,'26035'!A:F,5,0)</f>
        <v>0</v>
      </c>
      <c r="J21">
        <f>F21-VLOOKUP(A21,'26035'!A:F,6,0)</f>
        <v>0</v>
      </c>
    </row>
    <row r="22" spans="1:11" ht="15.75" thickBot="1" x14ac:dyDescent="0.3">
      <c r="A22" s="4" t="s">
        <v>39</v>
      </c>
      <c r="B22" s="5" t="s">
        <v>40</v>
      </c>
      <c r="C22" s="5" t="s">
        <v>34</v>
      </c>
      <c r="D22" s="6">
        <v>46108</v>
      </c>
      <c r="E22" s="6">
        <v>46108</v>
      </c>
      <c r="F22" s="5"/>
      <c r="H22">
        <f>D22-VLOOKUP(A22,'26035'!A:F,4,0)</f>
        <v>0</v>
      </c>
      <c r="I22">
        <f>E22-VLOOKUP(A22,'26035'!A:F,5,0)</f>
        <v>0</v>
      </c>
      <c r="J22">
        <f>F22-VLOOKUP(A22,'26035'!A:F,6,0)</f>
        <v>0</v>
      </c>
    </row>
    <row r="23" spans="1:11" ht="15.75" thickBot="1" x14ac:dyDescent="0.3">
      <c r="A23" s="4" t="s">
        <v>41</v>
      </c>
      <c r="B23" s="5" t="s">
        <v>42</v>
      </c>
      <c r="C23" s="5" t="s">
        <v>34</v>
      </c>
      <c r="D23" s="6">
        <v>46108</v>
      </c>
      <c r="E23" s="6">
        <v>46108</v>
      </c>
      <c r="F23" s="5"/>
      <c r="H23">
        <f>D23-VLOOKUP(A23,'26035'!A:F,4,0)</f>
        <v>0</v>
      </c>
      <c r="I23">
        <f>E23-VLOOKUP(A23,'26035'!A:F,5,0)</f>
        <v>0</v>
      </c>
      <c r="J23">
        <f>F23-VLOOKUP(A23,'26035'!A:F,6,0)</f>
        <v>0</v>
      </c>
    </row>
    <row r="24" spans="1:11" ht="15.75" thickBot="1" x14ac:dyDescent="0.3">
      <c r="A24" s="4" t="s">
        <v>43</v>
      </c>
      <c r="B24" s="5" t="s">
        <v>44</v>
      </c>
      <c r="C24" s="5" t="s">
        <v>34</v>
      </c>
      <c r="D24" s="6">
        <v>46108</v>
      </c>
      <c r="E24" s="6">
        <v>46108</v>
      </c>
      <c r="F24" s="5"/>
      <c r="H24">
        <f>D24-VLOOKUP(A24,'26035'!A:F,4,0)</f>
        <v>0</v>
      </c>
      <c r="I24">
        <f>E24-VLOOKUP(A24,'26035'!A:F,5,0)</f>
        <v>0</v>
      </c>
      <c r="J24">
        <f>F24-VLOOKUP(A24,'26035'!A:F,6,0)</f>
        <v>0</v>
      </c>
    </row>
    <row r="25" spans="1:11" ht="15.75" thickBot="1" x14ac:dyDescent="0.3">
      <c r="A25" s="4" t="s">
        <v>45</v>
      </c>
      <c r="B25" s="5" t="s">
        <v>46</v>
      </c>
      <c r="C25" s="5" t="s">
        <v>34</v>
      </c>
      <c r="D25" s="6">
        <v>46108</v>
      </c>
      <c r="E25" s="6">
        <v>46108</v>
      </c>
      <c r="F25" s="5"/>
      <c r="H25">
        <f>D25-VLOOKUP(A25,'26035'!A:F,4,0)</f>
        <v>0</v>
      </c>
      <c r="I25">
        <f>E25-VLOOKUP(A25,'26035'!A:F,5,0)</f>
        <v>0</v>
      </c>
      <c r="J25">
        <f>F25-VLOOKUP(A25,'26035'!A:F,6,0)</f>
        <v>0</v>
      </c>
    </row>
    <row r="26" spans="1:11" ht="15.75" thickBot="1" x14ac:dyDescent="0.3">
      <c r="A26" s="4">
        <v>17</v>
      </c>
      <c r="B26" s="5" t="s">
        <v>47</v>
      </c>
      <c r="C26" s="5" t="s">
        <v>1</v>
      </c>
      <c r="D26" s="6">
        <v>46104</v>
      </c>
      <c r="E26" s="6">
        <v>46104</v>
      </c>
      <c r="F26" s="5"/>
      <c r="H26">
        <f>D26-VLOOKUP(A26,'26035'!A:F,4,0)</f>
        <v>0</v>
      </c>
      <c r="I26">
        <f>E26-VLOOKUP(A26,'26035'!A:F,5,0)</f>
        <v>0</v>
      </c>
      <c r="J26">
        <f>F26-VLOOKUP(A26,'26035'!A:F,6,0)</f>
        <v>0</v>
      </c>
    </row>
    <row r="27" spans="1:11" ht="15.75" thickBot="1" x14ac:dyDescent="0.3">
      <c r="A27" s="4">
        <v>18</v>
      </c>
      <c r="B27" s="5" t="s">
        <v>48</v>
      </c>
      <c r="C27" s="5" t="s">
        <v>34</v>
      </c>
      <c r="D27" s="6">
        <v>46113</v>
      </c>
      <c r="E27" s="6">
        <v>46113</v>
      </c>
      <c r="F27" s="5"/>
      <c r="H27">
        <f>D27-VLOOKUP(A27,'26035'!A:F,4,0)</f>
        <v>0</v>
      </c>
      <c r="I27">
        <f>E27-VLOOKUP(A27,'26035'!A:F,5,0)</f>
        <v>0</v>
      </c>
      <c r="J27">
        <f>F27-VLOOKUP(A27,'26035'!A:F,6,0)</f>
        <v>0</v>
      </c>
    </row>
    <row r="28" spans="1:11" ht="15.75" thickBot="1" x14ac:dyDescent="0.3">
      <c r="A28" s="4">
        <v>19</v>
      </c>
      <c r="B28" s="5" t="s">
        <v>49</v>
      </c>
      <c r="C28" s="5" t="s">
        <v>30</v>
      </c>
      <c r="D28" s="6">
        <v>46114</v>
      </c>
      <c r="E28" s="6">
        <v>46114</v>
      </c>
      <c r="F28" s="5"/>
      <c r="H28">
        <f>D28-VLOOKUP(A28,'26035'!A:F,4,0)</f>
        <v>0</v>
      </c>
      <c r="I28">
        <f>E28-VLOOKUP(A28,'26035'!A:F,5,0)</f>
        <v>0</v>
      </c>
      <c r="J28">
        <f>F28-VLOOKUP(A28,'26035'!A:F,6,0)</f>
        <v>0</v>
      </c>
    </row>
    <row r="29" spans="1:11" ht="15.75" thickBot="1" x14ac:dyDescent="0.3">
      <c r="A29" s="4">
        <v>20</v>
      </c>
      <c r="B29" s="5" t="s">
        <v>50</v>
      </c>
      <c r="C29" s="5" t="s">
        <v>30</v>
      </c>
      <c r="D29" s="6">
        <v>46118</v>
      </c>
      <c r="E29" s="6">
        <v>46118</v>
      </c>
      <c r="F29" s="5"/>
      <c r="H29">
        <f>D29-VLOOKUP(A29,'26035'!A:F,4,0)</f>
        <v>0</v>
      </c>
      <c r="I29">
        <f>E29-VLOOKUP(A29,'26035'!A:F,5,0)</f>
        <v>0</v>
      </c>
      <c r="J29">
        <f>F29-VLOOKUP(A29,'26035'!A:F,6,0)</f>
        <v>0</v>
      </c>
    </row>
    <row r="30" spans="1:11" ht="15.75" thickBot="1" x14ac:dyDescent="0.3">
      <c r="A30" s="4">
        <v>23</v>
      </c>
      <c r="B30" s="5" t="s">
        <v>51</v>
      </c>
      <c r="C30" s="5" t="s">
        <v>1</v>
      </c>
      <c r="D30" s="6">
        <v>46124</v>
      </c>
      <c r="E30" s="6">
        <v>46124</v>
      </c>
      <c r="F30" s="5"/>
      <c r="H30">
        <f>D30-VLOOKUP(A30,'26035'!A:F,4,0)</f>
        <v>0</v>
      </c>
      <c r="I30">
        <f>E30-VLOOKUP(A30,'26035'!A:F,5,0)</f>
        <v>0</v>
      </c>
      <c r="J30">
        <f>F30-VLOOKUP(A30,'26035'!A:F,6,0)</f>
        <v>0</v>
      </c>
    </row>
    <row r="31" spans="1:11" ht="15.75" thickBot="1" x14ac:dyDescent="0.3">
      <c r="A31" s="4">
        <v>27</v>
      </c>
      <c r="B31" s="5" t="s">
        <v>52</v>
      </c>
      <c r="C31" s="5" t="s">
        <v>30</v>
      </c>
      <c r="D31" s="6">
        <v>46137</v>
      </c>
      <c r="E31" s="6">
        <v>46137</v>
      </c>
      <c r="F31" s="5"/>
      <c r="H31">
        <f>D31-VLOOKUP(A31,'26035'!A:F,4,0)</f>
        <v>0</v>
      </c>
      <c r="I31">
        <f>E31-VLOOKUP(A31,'26035'!A:F,5,0)</f>
        <v>0</v>
      </c>
      <c r="J31">
        <f>F31-VLOOKUP(A31,'26035'!A:F,6,0)</f>
        <v>0</v>
      </c>
    </row>
    <row r="32" spans="1:11" ht="15.75" thickBot="1" x14ac:dyDescent="0.3">
      <c r="A32" s="4">
        <v>28</v>
      </c>
      <c r="B32" s="5" t="s">
        <v>53</v>
      </c>
      <c r="C32" s="5" t="s">
        <v>30</v>
      </c>
      <c r="D32" s="6">
        <v>46145</v>
      </c>
      <c r="E32" s="6">
        <v>46145</v>
      </c>
      <c r="F32" s="6">
        <v>46127</v>
      </c>
      <c r="G32" s="15" t="s">
        <v>106</v>
      </c>
      <c r="H32">
        <f>D32-VLOOKUP(A32,'26035'!A:F,4,0)</f>
        <v>0</v>
      </c>
      <c r="I32" s="22">
        <f>E32-VLOOKUP(A32,'26035'!A:F,5,0)</f>
        <v>0</v>
      </c>
      <c r="J32">
        <f>F32-VLOOKUP(A32,'26035'!A:F,6,0)</f>
        <v>46127</v>
      </c>
      <c r="K32" t="s">
        <v>114</v>
      </c>
    </row>
    <row r="33" spans="1:11" ht="15.75" thickBot="1" x14ac:dyDescent="0.3">
      <c r="A33" s="7">
        <v>29</v>
      </c>
      <c r="B33" s="8" t="s">
        <v>54</v>
      </c>
      <c r="C33" s="8" t="s">
        <v>30</v>
      </c>
      <c r="D33" s="9">
        <v>46145</v>
      </c>
      <c r="E33" s="9">
        <v>46140</v>
      </c>
      <c r="F33" s="8"/>
      <c r="G33" s="15" t="s">
        <v>106</v>
      </c>
      <c r="H33">
        <f>D33-VLOOKUP(A33,'26035'!A:F,4,0)</f>
        <v>0</v>
      </c>
      <c r="I33" s="22">
        <f>E33-VLOOKUP(A33,'26035'!A:F,5,0)</f>
        <v>-5</v>
      </c>
      <c r="J33">
        <f>F33-VLOOKUP(A33,'26035'!A:F,6,0)</f>
        <v>0</v>
      </c>
      <c r="K33" t="s">
        <v>113</v>
      </c>
    </row>
    <row r="34" spans="1:11" ht="15.75" thickBot="1" x14ac:dyDescent="0.3">
      <c r="A34" s="4">
        <v>30</v>
      </c>
      <c r="B34" s="5" t="s">
        <v>55</v>
      </c>
      <c r="C34" s="5" t="s">
        <v>30</v>
      </c>
      <c r="D34" s="6">
        <v>46141</v>
      </c>
      <c r="E34" s="6">
        <v>46136</v>
      </c>
      <c r="F34" s="5"/>
      <c r="G34" s="15" t="s">
        <v>106</v>
      </c>
      <c r="H34">
        <f>D34-VLOOKUP(A34,'26035'!A:F,4,0)</f>
        <v>0</v>
      </c>
      <c r="I34">
        <f>E34-VLOOKUP(A34,'26035'!A:F,5,0)</f>
        <v>-5</v>
      </c>
      <c r="J34">
        <f>F34-VLOOKUP(A34,'26035'!A:F,6,0)</f>
        <v>0</v>
      </c>
    </row>
    <row r="35" spans="1:11" ht="15.75" thickBot="1" x14ac:dyDescent="0.3">
      <c r="A35" s="4">
        <v>31</v>
      </c>
      <c r="B35" s="5" t="s">
        <v>56</v>
      </c>
      <c r="C35" s="5" t="s">
        <v>30</v>
      </c>
      <c r="D35" s="6">
        <v>46143</v>
      </c>
      <c r="E35" s="6">
        <v>46143</v>
      </c>
      <c r="F35" s="5"/>
      <c r="H35">
        <f>D35-VLOOKUP(A35,'26035'!A:F,4,0)</f>
        <v>0</v>
      </c>
      <c r="I35">
        <f>E35-VLOOKUP(A35,'26035'!A:F,5,0)</f>
        <v>0</v>
      </c>
      <c r="J35">
        <f>F35-VLOOKUP(A35,'26035'!A:F,6,0)</f>
        <v>0</v>
      </c>
    </row>
    <row r="36" spans="1:11" ht="15.75" thickBot="1" x14ac:dyDescent="0.3">
      <c r="A36" s="4" t="s">
        <v>57</v>
      </c>
      <c r="B36" s="5" t="s">
        <v>58</v>
      </c>
      <c r="C36" s="5" t="s">
        <v>30</v>
      </c>
      <c r="D36" s="6">
        <v>46143</v>
      </c>
      <c r="E36" s="6">
        <v>46134</v>
      </c>
      <c r="F36" s="5"/>
      <c r="G36" s="14" t="s">
        <v>105</v>
      </c>
      <c r="H36">
        <f>D36-VLOOKUP(A36,'26035'!A:F,4,0)</f>
        <v>0</v>
      </c>
      <c r="I36">
        <f>E36-VLOOKUP(A36,'26035'!A:F,5,0)</f>
        <v>-5</v>
      </c>
      <c r="J36">
        <f>F36-VLOOKUP(A36,'26035'!A:F,6,0)</f>
        <v>0</v>
      </c>
    </row>
    <row r="37" spans="1:11" ht="15.75" thickBot="1" x14ac:dyDescent="0.3">
      <c r="A37" s="4" t="s">
        <v>59</v>
      </c>
      <c r="B37" s="5" t="s">
        <v>60</v>
      </c>
      <c r="C37" s="5" t="s">
        <v>30</v>
      </c>
      <c r="D37" s="6">
        <v>46139</v>
      </c>
      <c r="E37" s="6">
        <v>46134</v>
      </c>
      <c r="F37" s="5"/>
      <c r="H37">
        <f>D37-VLOOKUP(A37,'26035'!A:F,4,0)</f>
        <v>0</v>
      </c>
      <c r="I37">
        <f>E37-VLOOKUP(A37,'26035'!A:F,5,0)</f>
        <v>-5</v>
      </c>
      <c r="J37">
        <f>F37-VLOOKUP(A37,'26035'!A:F,6,0)</f>
        <v>0</v>
      </c>
    </row>
    <row r="38" spans="1:11" ht="15.75" thickBot="1" x14ac:dyDescent="0.3">
      <c r="A38" s="4" t="s">
        <v>61</v>
      </c>
      <c r="B38" s="5" t="s">
        <v>62</v>
      </c>
      <c r="C38" s="5" t="s">
        <v>30</v>
      </c>
      <c r="D38" s="6">
        <v>46139</v>
      </c>
      <c r="E38" s="6">
        <v>46134</v>
      </c>
      <c r="F38" s="5"/>
      <c r="H38">
        <f>D38-VLOOKUP(A38,'26035'!A:F,4,0)</f>
        <v>0</v>
      </c>
      <c r="I38">
        <f>E38-VLOOKUP(A38,'26035'!A:F,5,0)</f>
        <v>-5</v>
      </c>
      <c r="J38">
        <f>F38-VLOOKUP(A38,'26035'!A:F,6,0)</f>
        <v>0</v>
      </c>
    </row>
    <row r="39" spans="1:11" ht="15.75" thickBot="1" x14ac:dyDescent="0.3">
      <c r="A39" s="4" t="s">
        <v>63</v>
      </c>
      <c r="B39" s="5" t="s">
        <v>64</v>
      </c>
      <c r="C39" s="5" t="s">
        <v>30</v>
      </c>
      <c r="D39" s="6">
        <v>46139</v>
      </c>
      <c r="E39" s="6">
        <v>46134</v>
      </c>
      <c r="F39" s="5"/>
      <c r="H39">
        <f>D39-VLOOKUP(A39,'26035'!A:F,4,0)</f>
        <v>0</v>
      </c>
      <c r="I39">
        <f>E39-VLOOKUP(A39,'26035'!A:F,5,0)</f>
        <v>-5</v>
      </c>
      <c r="J39">
        <f>F39-VLOOKUP(A39,'26035'!A:F,6,0)</f>
        <v>0</v>
      </c>
    </row>
    <row r="40" spans="1:11" ht="15.75" thickBot="1" x14ac:dyDescent="0.3">
      <c r="A40" s="4" t="s">
        <v>65</v>
      </c>
      <c r="B40" s="5" t="s">
        <v>66</v>
      </c>
      <c r="C40" s="5" t="s">
        <v>30</v>
      </c>
      <c r="D40" s="6">
        <v>46139</v>
      </c>
      <c r="E40" s="6">
        <v>46134</v>
      </c>
      <c r="F40" s="5"/>
      <c r="H40">
        <f>D40-VLOOKUP(A40,'26035'!A:F,4,0)</f>
        <v>0</v>
      </c>
      <c r="I40">
        <f>E40-VLOOKUP(A40,'26035'!A:F,5,0)</f>
        <v>-5</v>
      </c>
      <c r="J40">
        <f>F40-VLOOKUP(A40,'26035'!A:F,6,0)</f>
        <v>0</v>
      </c>
    </row>
    <row r="41" spans="1:11" ht="15.75" thickBot="1" x14ac:dyDescent="0.3">
      <c r="A41" s="4" t="s">
        <v>67</v>
      </c>
      <c r="B41" s="5" t="s">
        <v>68</v>
      </c>
      <c r="C41" s="5" t="s">
        <v>30</v>
      </c>
      <c r="D41" s="6">
        <v>46139</v>
      </c>
      <c r="E41" s="6">
        <v>46134</v>
      </c>
      <c r="F41" s="5"/>
      <c r="H41">
        <f>D41-VLOOKUP(A41,'26035'!A:F,4,0)</f>
        <v>0</v>
      </c>
      <c r="I41">
        <f>E41-VLOOKUP(A41,'26035'!A:F,5,0)</f>
        <v>-5</v>
      </c>
      <c r="J41">
        <f>F41-VLOOKUP(A41,'26035'!A:F,6,0)</f>
        <v>0</v>
      </c>
    </row>
    <row r="42" spans="1:11" ht="15.75" thickBot="1" x14ac:dyDescent="0.3">
      <c r="A42" s="4" t="s">
        <v>69</v>
      </c>
      <c r="B42" s="5" t="s">
        <v>70</v>
      </c>
      <c r="C42" s="5" t="s">
        <v>30</v>
      </c>
      <c r="D42" s="6">
        <v>46139</v>
      </c>
      <c r="E42" s="6">
        <v>46134</v>
      </c>
      <c r="F42" s="5"/>
      <c r="H42">
        <f>D42-VLOOKUP(A42,'26035'!A:F,4,0)</f>
        <v>0</v>
      </c>
      <c r="I42">
        <f>E42-VLOOKUP(A42,'26035'!A:F,5,0)</f>
        <v>-5</v>
      </c>
      <c r="J42">
        <f>F42-VLOOKUP(A42,'26035'!A:F,6,0)</f>
        <v>0</v>
      </c>
    </row>
    <row r="43" spans="1:11" ht="15.75" thickBot="1" x14ac:dyDescent="0.3">
      <c r="A43" s="4">
        <v>33</v>
      </c>
      <c r="B43" s="5" t="s">
        <v>71</v>
      </c>
      <c r="C43" s="5" t="s">
        <v>14</v>
      </c>
      <c r="D43" s="6">
        <v>46149</v>
      </c>
      <c r="E43" s="6">
        <v>46142</v>
      </c>
      <c r="F43" s="5"/>
      <c r="G43" s="14" t="s">
        <v>105</v>
      </c>
      <c r="H43">
        <f>D43-VLOOKUP(A43,'26035'!A:F,4,0)</f>
        <v>0</v>
      </c>
      <c r="I43">
        <f>E43-VLOOKUP(A43,'26035'!A:F,5,0)</f>
        <v>-5</v>
      </c>
      <c r="J43">
        <f>F43-VLOOKUP(A43,'26035'!A:F,6,0)</f>
        <v>0</v>
      </c>
    </row>
    <row r="44" spans="1:11" ht="15.75" thickBot="1" x14ac:dyDescent="0.3">
      <c r="A44" s="7" t="s">
        <v>72</v>
      </c>
      <c r="B44" s="8" t="s">
        <v>73</v>
      </c>
      <c r="C44" s="8" t="s">
        <v>14</v>
      </c>
      <c r="D44" s="9">
        <v>46147</v>
      </c>
      <c r="E44" s="9">
        <v>46142</v>
      </c>
      <c r="F44" s="8"/>
      <c r="H44">
        <f>D44-VLOOKUP(A44,'26035'!A:F,4,0)</f>
        <v>0</v>
      </c>
      <c r="I44" s="22">
        <f>E44-VLOOKUP(A44,'26035'!A:F,5,0)</f>
        <v>-5</v>
      </c>
      <c r="J44">
        <f>F44-VLOOKUP(A44,'26035'!A:F,6,0)</f>
        <v>0</v>
      </c>
      <c r="K44" t="s">
        <v>113</v>
      </c>
    </row>
    <row r="45" spans="1:11" ht="15.75" thickBot="1" x14ac:dyDescent="0.3">
      <c r="A45" s="4" t="s">
        <v>74</v>
      </c>
      <c r="B45" s="5" t="s">
        <v>75</v>
      </c>
      <c r="C45" s="5" t="s">
        <v>14</v>
      </c>
      <c r="D45" s="6">
        <v>46147</v>
      </c>
      <c r="E45" s="6">
        <v>46142</v>
      </c>
      <c r="F45" s="5"/>
      <c r="H45">
        <f>D45-VLOOKUP(A45,'26035'!A:F,4,0)</f>
        <v>0</v>
      </c>
      <c r="I45">
        <f>E45-VLOOKUP(A45,'26035'!A:F,5,0)</f>
        <v>-5</v>
      </c>
      <c r="J45">
        <f>F45-VLOOKUP(A45,'26035'!A:F,6,0)</f>
        <v>0</v>
      </c>
    </row>
    <row r="46" spans="1:11" ht="15.75" thickBot="1" x14ac:dyDescent="0.3">
      <c r="A46" s="4" t="s">
        <v>76</v>
      </c>
      <c r="B46" s="5" t="s">
        <v>77</v>
      </c>
      <c r="C46" s="5" t="s">
        <v>14</v>
      </c>
      <c r="D46" s="6">
        <v>46147</v>
      </c>
      <c r="E46" s="6">
        <v>46142</v>
      </c>
      <c r="F46" s="5"/>
      <c r="H46">
        <f>D46-VLOOKUP(A46,'26035'!A:F,4,0)</f>
        <v>0</v>
      </c>
      <c r="I46">
        <f>E46-VLOOKUP(A46,'26035'!A:F,5,0)</f>
        <v>-5</v>
      </c>
      <c r="J46">
        <f>F46-VLOOKUP(A46,'26035'!A:F,6,0)</f>
        <v>0</v>
      </c>
    </row>
    <row r="47" spans="1:11" ht="15.75" thickBot="1" x14ac:dyDescent="0.3">
      <c r="A47" s="4" t="s">
        <v>78</v>
      </c>
      <c r="B47" s="5" t="s">
        <v>79</v>
      </c>
      <c r="C47" s="5" t="s">
        <v>14</v>
      </c>
      <c r="D47" s="6">
        <v>46147</v>
      </c>
      <c r="E47" s="6">
        <v>46142</v>
      </c>
      <c r="F47" s="5"/>
      <c r="H47">
        <f>D47-VLOOKUP(A47,'26035'!A:F,4,0)</f>
        <v>0</v>
      </c>
      <c r="I47">
        <f>E47-VLOOKUP(A47,'26035'!A:F,5,0)</f>
        <v>-5</v>
      </c>
      <c r="J47">
        <f>F47-VLOOKUP(A47,'26035'!A:F,6,0)</f>
        <v>0</v>
      </c>
    </row>
    <row r="48" spans="1:11" ht="15.75" thickBot="1" x14ac:dyDescent="0.3">
      <c r="A48" s="4" t="s">
        <v>80</v>
      </c>
      <c r="B48" s="5" t="s">
        <v>81</v>
      </c>
      <c r="C48" s="5" t="s">
        <v>14</v>
      </c>
      <c r="D48" s="6">
        <v>46147</v>
      </c>
      <c r="E48" s="6">
        <v>46142</v>
      </c>
      <c r="F48" s="5"/>
      <c r="H48">
        <f>D48-VLOOKUP(A48,'26035'!A:F,4,0)</f>
        <v>0</v>
      </c>
      <c r="I48">
        <f>E48-VLOOKUP(A48,'26035'!A:F,5,0)</f>
        <v>-5</v>
      </c>
      <c r="J48">
        <f>F48-VLOOKUP(A48,'26035'!A:F,6,0)</f>
        <v>0</v>
      </c>
    </row>
    <row r="49" spans="1:10" ht="15.75" thickBot="1" x14ac:dyDescent="0.3">
      <c r="A49" s="4" t="s">
        <v>82</v>
      </c>
      <c r="B49" s="5" t="s">
        <v>83</v>
      </c>
      <c r="C49" s="5" t="s">
        <v>14</v>
      </c>
      <c r="D49" s="6">
        <v>46147</v>
      </c>
      <c r="E49" s="6">
        <v>46142</v>
      </c>
      <c r="F49" s="5"/>
      <c r="H49">
        <f>D49-VLOOKUP(A49,'26035'!A:F,4,0)</f>
        <v>0</v>
      </c>
      <c r="I49">
        <f>E49-VLOOKUP(A49,'26035'!A:F,5,0)</f>
        <v>-5</v>
      </c>
      <c r="J49">
        <f>F49-VLOOKUP(A49,'26035'!A:F,6,0)</f>
        <v>0</v>
      </c>
    </row>
    <row r="50" spans="1:10" ht="15.75" thickBot="1" x14ac:dyDescent="0.3">
      <c r="A50" s="4" t="s">
        <v>84</v>
      </c>
      <c r="B50" s="5" t="s">
        <v>85</v>
      </c>
      <c r="C50" s="5" t="s">
        <v>14</v>
      </c>
      <c r="D50" s="6">
        <v>46147</v>
      </c>
      <c r="E50" s="6">
        <v>46142</v>
      </c>
      <c r="F50" s="5"/>
      <c r="H50">
        <f>D50-VLOOKUP(A50,'26035'!A:F,4,0)</f>
        <v>0</v>
      </c>
      <c r="I50">
        <f>E50-VLOOKUP(A50,'26035'!A:F,5,0)</f>
        <v>-5</v>
      </c>
      <c r="J50">
        <f>F50-VLOOKUP(A50,'26035'!A:F,6,0)</f>
        <v>0</v>
      </c>
    </row>
    <row r="51" spans="1:10" ht="15.75" thickBot="1" x14ac:dyDescent="0.3">
      <c r="A51" s="4">
        <v>34</v>
      </c>
      <c r="B51" s="5" t="s">
        <v>86</v>
      </c>
      <c r="C51" s="5" t="s">
        <v>1</v>
      </c>
      <c r="D51" s="6">
        <v>46156</v>
      </c>
      <c r="E51" s="6">
        <v>46156</v>
      </c>
      <c r="F51" s="5"/>
      <c r="H51">
        <f>D51-VLOOKUP(A51,'26035'!A:F,4,0)</f>
        <v>0</v>
      </c>
      <c r="I51">
        <f>E51-VLOOKUP(A51,'26035'!A:F,5,0)</f>
        <v>0</v>
      </c>
      <c r="J51">
        <f>F51-VLOOKUP(A51,'26035'!A:F,6,0)</f>
        <v>0</v>
      </c>
    </row>
    <row r="52" spans="1:10" ht="15.75" thickBot="1" x14ac:dyDescent="0.3">
      <c r="A52" s="4">
        <v>35</v>
      </c>
      <c r="B52" s="5" t="s">
        <v>87</v>
      </c>
      <c r="C52" s="5" t="s">
        <v>88</v>
      </c>
      <c r="D52" s="6">
        <v>46156</v>
      </c>
      <c r="E52" s="6">
        <v>46172</v>
      </c>
      <c r="F52" s="6">
        <v>46128</v>
      </c>
      <c r="H52">
        <f>D52-VLOOKUP(A52,'26035'!A:F,4,0)</f>
        <v>0</v>
      </c>
      <c r="I52">
        <f>E52-VLOOKUP(A52,'26035'!A:F,5,0)</f>
        <v>0</v>
      </c>
      <c r="J52">
        <f>F52-VLOOKUP(A52,'26035'!A:F,6,0)</f>
        <v>0</v>
      </c>
    </row>
    <row r="53" spans="1:10" ht="15.75" thickBot="1" x14ac:dyDescent="0.3">
      <c r="A53" s="4">
        <v>36</v>
      </c>
      <c r="B53" s="5" t="s">
        <v>89</v>
      </c>
      <c r="C53" s="5" t="s">
        <v>30</v>
      </c>
      <c r="D53" s="6">
        <v>46154</v>
      </c>
      <c r="E53" s="6">
        <v>46154</v>
      </c>
      <c r="F53" s="5"/>
      <c r="H53">
        <f>D53-VLOOKUP(A53,'26035'!A:F,4,0)</f>
        <v>0</v>
      </c>
      <c r="I53">
        <f>E53-VLOOKUP(A53,'26035'!A:F,5,0)</f>
        <v>0</v>
      </c>
      <c r="J53">
        <f>F53-VLOOKUP(A53,'26035'!A:F,6,0)</f>
        <v>0</v>
      </c>
    </row>
    <row r="54" spans="1:10" ht="15.75" thickBot="1" x14ac:dyDescent="0.3">
      <c r="A54" s="4">
        <v>37</v>
      </c>
      <c r="B54" s="5" t="s">
        <v>90</v>
      </c>
      <c r="C54" s="5" t="s">
        <v>30</v>
      </c>
      <c r="D54" s="6">
        <v>46156</v>
      </c>
      <c r="E54" s="6">
        <v>46151</v>
      </c>
      <c r="F54" s="5"/>
      <c r="G54" s="14" t="s">
        <v>105</v>
      </c>
      <c r="H54">
        <f>D54-VLOOKUP(A54,'26035'!A:F,4,0)</f>
        <v>0</v>
      </c>
      <c r="I54">
        <f>E54-VLOOKUP(A54,'26035'!A:F,5,0)</f>
        <v>-5</v>
      </c>
      <c r="J54">
        <f>F54-VLOOKUP(A54,'26035'!A:F,6,0)</f>
        <v>0</v>
      </c>
    </row>
    <row r="55" spans="1:10" ht="15.75" thickBot="1" x14ac:dyDescent="0.3">
      <c r="A55" s="4" t="s">
        <v>91</v>
      </c>
      <c r="B55" s="5" t="s">
        <v>92</v>
      </c>
      <c r="C55" s="5" t="s">
        <v>3</v>
      </c>
      <c r="D55" s="6">
        <v>46165</v>
      </c>
      <c r="E55" s="6">
        <v>46160</v>
      </c>
      <c r="F55" s="5"/>
      <c r="G55" s="14" t="s">
        <v>105</v>
      </c>
      <c r="H55">
        <f>D55-VLOOKUP(A55,'26035'!A:F,4,0)</f>
        <v>0</v>
      </c>
      <c r="I55">
        <f>E55-VLOOKUP(A55,'26035'!A:F,5,0)</f>
        <v>-5</v>
      </c>
      <c r="J55">
        <f>F55-VLOOKUP(A55,'26035'!A:F,6,0)</f>
        <v>0</v>
      </c>
    </row>
    <row r="56" spans="1:10" ht="15.75" thickBot="1" x14ac:dyDescent="0.3">
      <c r="A56" s="4">
        <v>39</v>
      </c>
      <c r="B56" s="5" t="s">
        <v>93</v>
      </c>
      <c r="C56" s="5" t="s">
        <v>3</v>
      </c>
      <c r="D56" s="6">
        <v>46167</v>
      </c>
      <c r="E56" s="6">
        <v>46162</v>
      </c>
      <c r="F56" s="5"/>
      <c r="G56" s="16" t="s">
        <v>104</v>
      </c>
      <c r="H56">
        <f>D56-VLOOKUP(A56,'26035'!A:F,4,0)</f>
        <v>0</v>
      </c>
      <c r="I56">
        <f>E56-VLOOKUP(A56,'26035'!A:F,5,0)</f>
        <v>-5</v>
      </c>
      <c r="J56">
        <f>F56-VLOOKUP(A56,'26035'!A:F,6,0)</f>
        <v>0</v>
      </c>
    </row>
    <row r="57" spans="1:10" ht="15.75" thickBot="1" x14ac:dyDescent="0.3">
      <c r="A57" s="4" t="s">
        <v>94</v>
      </c>
      <c r="B57" s="5" t="s">
        <v>95</v>
      </c>
      <c r="C57" s="5" t="s">
        <v>3</v>
      </c>
      <c r="D57" s="6">
        <v>46171</v>
      </c>
      <c r="E57" s="6">
        <v>46171</v>
      </c>
      <c r="F57" s="5"/>
      <c r="H57">
        <f>D57-VLOOKUP(A57,'26035'!A:F,4,0)</f>
        <v>0</v>
      </c>
      <c r="I57">
        <f>E57-VLOOKUP(A57,'26035'!A:F,5,0)</f>
        <v>0</v>
      </c>
      <c r="J57">
        <f>F57-VLOOKUP(A57,'26035'!A:F,6,0)</f>
        <v>0</v>
      </c>
    </row>
    <row r="58" spans="1:10" ht="15.75" thickBot="1" x14ac:dyDescent="0.3">
      <c r="A58" s="10" t="s">
        <v>96</v>
      </c>
      <c r="B58" s="11" t="s">
        <v>97</v>
      </c>
      <c r="C58" s="11" t="s">
        <v>5</v>
      </c>
      <c r="D58" s="12">
        <v>46096</v>
      </c>
      <c r="E58" s="12">
        <v>46096</v>
      </c>
      <c r="F58" s="11"/>
      <c r="H58">
        <f>D58-VLOOKUP(A58,'26035'!A:F,4,0)</f>
        <v>0</v>
      </c>
      <c r="I58">
        <f>E58-VLOOKUP(A58,'26035'!A:F,5,0)</f>
        <v>0</v>
      </c>
      <c r="J58">
        <f>F58-VLOOKUP(A58,'26035'!A:F,6,0)</f>
        <v>0</v>
      </c>
    </row>
  </sheetData>
  <autoFilter ref="A1:J58" xr:uid="{B0DF8CA0-8B44-45C0-8FFE-F40C3281B0C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C10A-BF9B-4213-99F8-583DC597D3B2}">
  <sheetPr codeName="Sheet5">
    <tabColor rgb="FFFFC000"/>
  </sheetPr>
  <dimension ref="A1:J58"/>
  <sheetViews>
    <sheetView tabSelected="1" workbookViewId="0">
      <pane ySplit="1" topLeftCell="A22" activePane="bottomLeft" state="frozen"/>
      <selection pane="bottomLeft" activeCell="G24" sqref="G24"/>
    </sheetView>
  </sheetViews>
  <sheetFormatPr defaultRowHeight="15" x14ac:dyDescent="0.25"/>
  <cols>
    <col min="1" max="1" width="26.7109375" bestFit="1" customWidth="1"/>
    <col min="2" max="2" width="60.5703125" bestFit="1" customWidth="1"/>
    <col min="3" max="3" width="41.140625" bestFit="1" customWidth="1"/>
    <col min="4" max="4" width="16.28515625" bestFit="1" customWidth="1"/>
    <col min="5" max="5" width="21.140625" bestFit="1" customWidth="1"/>
    <col min="6" max="6" width="17.42578125" bestFit="1" customWidth="1"/>
    <col min="7" max="7" width="9.42578125" style="13" bestFit="1" customWidth="1"/>
    <col min="8" max="8" width="10.5703125" bestFit="1" customWidth="1"/>
    <col min="9" max="10" width="11.85546875" bestFit="1" customWidth="1"/>
  </cols>
  <sheetData>
    <row r="1" spans="1:10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s="13" t="s">
        <v>109</v>
      </c>
      <c r="H1" t="s">
        <v>110</v>
      </c>
      <c r="I1" t="s">
        <v>111</v>
      </c>
      <c r="J1" t="s">
        <v>112</v>
      </c>
    </row>
    <row r="2" spans="1:10" ht="15.75" thickBot="1" x14ac:dyDescent="0.3">
      <c r="A2" s="1">
        <v>1</v>
      </c>
      <c r="B2" s="2" t="s">
        <v>0</v>
      </c>
      <c r="C2" s="2" t="s">
        <v>1</v>
      </c>
      <c r="D2" s="3">
        <v>46089</v>
      </c>
      <c r="E2" s="3">
        <v>46089</v>
      </c>
      <c r="F2" s="2"/>
      <c r="H2">
        <f>D2-VLOOKUP(A2,'26035'!A:F,4,0)</f>
        <v>0</v>
      </c>
      <c r="I2">
        <f>E2-VLOOKUP(A2,'26035'!A:F,5,0)</f>
        <v>0</v>
      </c>
      <c r="J2">
        <f>F2-VLOOKUP(A2,'26035'!A:F,6,0)</f>
        <v>0</v>
      </c>
    </row>
    <row r="3" spans="1:10" ht="15.75" thickBot="1" x14ac:dyDescent="0.3">
      <c r="A3" s="4">
        <v>3</v>
      </c>
      <c r="B3" s="5" t="s">
        <v>2</v>
      </c>
      <c r="C3" s="5" t="s">
        <v>3</v>
      </c>
      <c r="D3" s="6">
        <v>46094</v>
      </c>
      <c r="E3" s="6">
        <v>46094</v>
      </c>
      <c r="F3" s="5"/>
      <c r="H3">
        <f>D3-VLOOKUP(A3,'26035'!A:F,4,0)</f>
        <v>0</v>
      </c>
      <c r="I3">
        <f>E3-VLOOKUP(A3,'26035'!A:F,5,0)</f>
        <v>0</v>
      </c>
      <c r="J3">
        <f>F3-VLOOKUP(A3,'26035'!A:F,6,0)</f>
        <v>0</v>
      </c>
    </row>
    <row r="4" spans="1:10" ht="15.75" thickBot="1" x14ac:dyDescent="0.3">
      <c r="A4" s="4">
        <v>4</v>
      </c>
      <c r="B4" s="5" t="s">
        <v>4</v>
      </c>
      <c r="C4" s="5" t="s">
        <v>5</v>
      </c>
      <c r="D4" s="6">
        <v>46096</v>
      </c>
      <c r="E4" s="6">
        <v>46096</v>
      </c>
      <c r="F4" s="6">
        <v>46096</v>
      </c>
      <c r="G4" s="18" t="s">
        <v>108</v>
      </c>
      <c r="H4">
        <f>D4-VLOOKUP(A4,'26035'!A:F,4,0)</f>
        <v>0</v>
      </c>
      <c r="I4">
        <f>E4-VLOOKUP(A4,'26035'!A:F,5,0)</f>
        <v>0</v>
      </c>
      <c r="J4">
        <f>F4-VLOOKUP(A4,'26035'!A:F,6,0)</f>
        <v>0</v>
      </c>
    </row>
    <row r="5" spans="1:10" ht="15.75" thickBot="1" x14ac:dyDescent="0.3">
      <c r="A5" s="4">
        <v>5</v>
      </c>
      <c r="B5" s="5" t="s">
        <v>6</v>
      </c>
      <c r="C5" s="5" t="s">
        <v>3</v>
      </c>
      <c r="D5" s="6">
        <v>46103</v>
      </c>
      <c r="E5" s="6">
        <v>46103</v>
      </c>
      <c r="F5" s="5"/>
      <c r="H5">
        <f>D5-VLOOKUP(A5,'26035'!A:F,4,0)</f>
        <v>0</v>
      </c>
      <c r="I5">
        <f>E5-VLOOKUP(A5,'26035'!A:F,5,0)</f>
        <v>0</v>
      </c>
      <c r="J5">
        <f>F5-VLOOKUP(A5,'26035'!A:F,6,0)</f>
        <v>0</v>
      </c>
    </row>
    <row r="6" spans="1:10" ht="15.75" thickBot="1" x14ac:dyDescent="0.3">
      <c r="A6" s="4" t="s">
        <v>7</v>
      </c>
      <c r="B6" s="5" t="s">
        <v>8</v>
      </c>
      <c r="C6" s="5" t="s">
        <v>3</v>
      </c>
      <c r="D6" s="6">
        <v>46107</v>
      </c>
      <c r="E6" s="6">
        <v>46107</v>
      </c>
      <c r="F6" s="5"/>
      <c r="H6">
        <f>D6-VLOOKUP(A6,'26035'!A:F,4,0)</f>
        <v>0</v>
      </c>
      <c r="I6">
        <f>E6-VLOOKUP(A6,'26035'!A:F,5,0)</f>
        <v>0</v>
      </c>
      <c r="J6">
        <f>F6-VLOOKUP(A6,'26035'!A:F,6,0)</f>
        <v>0</v>
      </c>
    </row>
    <row r="7" spans="1:10" ht="15.75" thickBot="1" x14ac:dyDescent="0.3">
      <c r="A7" s="4">
        <v>7</v>
      </c>
      <c r="B7" s="5" t="s">
        <v>9</v>
      </c>
      <c r="C7" s="5" t="s">
        <v>10</v>
      </c>
      <c r="D7" s="6">
        <v>46114</v>
      </c>
      <c r="E7" s="6">
        <v>46114</v>
      </c>
      <c r="F7" s="5"/>
      <c r="H7">
        <f>D7-VLOOKUP(A7,'26035'!A:F,4,0)</f>
        <v>0</v>
      </c>
      <c r="I7">
        <f>E7-VLOOKUP(A7,'26035'!A:F,5,0)</f>
        <v>0</v>
      </c>
      <c r="J7">
        <f>F7-VLOOKUP(A7,'26035'!A:F,6,0)</f>
        <v>0</v>
      </c>
    </row>
    <row r="8" spans="1:10" ht="15.75" thickBot="1" x14ac:dyDescent="0.3">
      <c r="A8" s="4" t="s">
        <v>11</v>
      </c>
      <c r="B8" s="5" t="s">
        <v>12</v>
      </c>
      <c r="C8" s="5" t="s">
        <v>3</v>
      </c>
      <c r="D8" s="6">
        <v>46109</v>
      </c>
      <c r="E8" s="6">
        <v>46109</v>
      </c>
      <c r="F8" s="5"/>
      <c r="H8">
        <f>D8-VLOOKUP(A8,'26035'!A:F,4,0)</f>
        <v>0</v>
      </c>
      <c r="I8">
        <f>E8-VLOOKUP(A8,'26035'!A:F,5,0)</f>
        <v>0</v>
      </c>
      <c r="J8">
        <f>F8-VLOOKUP(A8,'26035'!A:F,6,0)</f>
        <v>0</v>
      </c>
    </row>
    <row r="9" spans="1:10" ht="15.75" thickBot="1" x14ac:dyDescent="0.3">
      <c r="A9" s="4">
        <v>9</v>
      </c>
      <c r="B9" s="5" t="s">
        <v>13</v>
      </c>
      <c r="C9" s="5" t="s">
        <v>14</v>
      </c>
      <c r="D9" s="6">
        <v>46109</v>
      </c>
      <c r="E9" s="6">
        <v>46109</v>
      </c>
      <c r="F9" s="5"/>
      <c r="H9">
        <f>D9-VLOOKUP(A9,'26035'!A:F,4,0)</f>
        <v>0</v>
      </c>
      <c r="I9">
        <f>E9-VLOOKUP(A9,'26035'!A:F,5,0)</f>
        <v>0</v>
      </c>
      <c r="J9">
        <f>F9-VLOOKUP(A9,'26035'!A:F,6,0)</f>
        <v>0</v>
      </c>
    </row>
    <row r="10" spans="1:10" ht="15.75" thickBot="1" x14ac:dyDescent="0.3">
      <c r="A10" s="4" t="s">
        <v>15</v>
      </c>
      <c r="B10" s="5" t="s">
        <v>16</v>
      </c>
      <c r="C10" s="5" t="s">
        <v>14</v>
      </c>
      <c r="D10" s="6">
        <v>46109</v>
      </c>
      <c r="E10" s="6">
        <v>46109</v>
      </c>
      <c r="F10" s="5"/>
      <c r="H10">
        <f>D10-VLOOKUP(A10,'26035'!A:F,4,0)</f>
        <v>0</v>
      </c>
      <c r="I10">
        <f>E10-VLOOKUP(A10,'26035'!A:F,5,0)</f>
        <v>0</v>
      </c>
      <c r="J10">
        <f>F10-VLOOKUP(A10,'26035'!A:F,6,0)</f>
        <v>0</v>
      </c>
    </row>
    <row r="11" spans="1:10" ht="15.75" thickBot="1" x14ac:dyDescent="0.3">
      <c r="A11" s="4" t="s">
        <v>17</v>
      </c>
      <c r="B11" s="5" t="s">
        <v>18</v>
      </c>
      <c r="C11" s="5" t="s">
        <v>14</v>
      </c>
      <c r="D11" s="6">
        <v>46109</v>
      </c>
      <c r="E11" s="6">
        <v>46109</v>
      </c>
      <c r="F11" s="5"/>
      <c r="H11">
        <f>D11-VLOOKUP(A11,'26035'!A:F,4,0)</f>
        <v>0</v>
      </c>
      <c r="I11">
        <f>E11-VLOOKUP(A11,'26035'!A:F,5,0)</f>
        <v>0</v>
      </c>
      <c r="J11">
        <f>F11-VLOOKUP(A11,'26035'!A:F,6,0)</f>
        <v>0</v>
      </c>
    </row>
    <row r="12" spans="1:10" ht="15.75" thickBot="1" x14ac:dyDescent="0.3">
      <c r="A12" s="4" t="s">
        <v>19</v>
      </c>
      <c r="B12" s="5" t="s">
        <v>20</v>
      </c>
      <c r="C12" s="5" t="s">
        <v>14</v>
      </c>
      <c r="D12" s="6">
        <v>46109</v>
      </c>
      <c r="E12" s="6">
        <v>46109</v>
      </c>
      <c r="F12" s="5"/>
      <c r="H12">
        <f>D12-VLOOKUP(A12,'26035'!A:F,4,0)</f>
        <v>0</v>
      </c>
      <c r="I12">
        <f>E12-VLOOKUP(A12,'26035'!A:F,5,0)</f>
        <v>0</v>
      </c>
      <c r="J12">
        <f>F12-VLOOKUP(A12,'26035'!A:F,6,0)</f>
        <v>0</v>
      </c>
    </row>
    <row r="13" spans="1:10" ht="15.75" thickBot="1" x14ac:dyDescent="0.3">
      <c r="A13" s="4" t="s">
        <v>21</v>
      </c>
      <c r="B13" s="5" t="s">
        <v>22</v>
      </c>
      <c r="C13" s="5" t="s">
        <v>14</v>
      </c>
      <c r="D13" s="6">
        <v>46109</v>
      </c>
      <c r="E13" s="6">
        <v>46109</v>
      </c>
      <c r="F13" s="5"/>
      <c r="H13">
        <f>D13-VLOOKUP(A13,'26035'!A:F,4,0)</f>
        <v>0</v>
      </c>
      <c r="I13">
        <f>E13-VLOOKUP(A13,'26035'!A:F,5,0)</f>
        <v>0</v>
      </c>
      <c r="J13">
        <f>F13-VLOOKUP(A13,'26035'!A:F,6,0)</f>
        <v>0</v>
      </c>
    </row>
    <row r="14" spans="1:10" ht="15.75" thickBot="1" x14ac:dyDescent="0.3">
      <c r="A14" s="4" t="s">
        <v>23</v>
      </c>
      <c r="B14" s="5" t="s">
        <v>24</v>
      </c>
      <c r="C14" s="5" t="s">
        <v>14</v>
      </c>
      <c r="D14" s="6">
        <v>46109</v>
      </c>
      <c r="E14" s="6">
        <v>46109</v>
      </c>
      <c r="F14" s="5"/>
      <c r="H14">
        <f>D14-VLOOKUP(A14,'26035'!A:F,4,0)</f>
        <v>0</v>
      </c>
      <c r="I14">
        <f>E14-VLOOKUP(A14,'26035'!A:F,5,0)</f>
        <v>0</v>
      </c>
      <c r="J14">
        <f>F14-VLOOKUP(A14,'26035'!A:F,6,0)</f>
        <v>0</v>
      </c>
    </row>
    <row r="15" spans="1:10" ht="15.75" thickBot="1" x14ac:dyDescent="0.3">
      <c r="A15" s="4" t="s">
        <v>25</v>
      </c>
      <c r="B15" s="5" t="s">
        <v>26</v>
      </c>
      <c r="C15" s="5" t="s">
        <v>14</v>
      </c>
      <c r="D15" s="6">
        <v>46109</v>
      </c>
      <c r="E15" s="6">
        <v>46109</v>
      </c>
      <c r="F15" s="5"/>
      <c r="H15">
        <f>D15-VLOOKUP(A15,'26035'!A:F,4,0)</f>
        <v>0</v>
      </c>
      <c r="I15">
        <f>E15-VLOOKUP(A15,'26035'!A:F,5,0)</f>
        <v>0</v>
      </c>
      <c r="J15">
        <f>F15-VLOOKUP(A15,'26035'!A:F,6,0)</f>
        <v>0</v>
      </c>
    </row>
    <row r="16" spans="1:10" ht="15.75" thickBot="1" x14ac:dyDescent="0.3">
      <c r="A16" s="4" t="s">
        <v>27</v>
      </c>
      <c r="B16" s="5" t="s">
        <v>28</v>
      </c>
      <c r="C16" s="5" t="s">
        <v>14</v>
      </c>
      <c r="D16" s="6">
        <v>46108</v>
      </c>
      <c r="E16" s="6">
        <v>46108</v>
      </c>
      <c r="F16" s="5"/>
      <c r="H16">
        <f>D16-VLOOKUP(A16,'26035'!A:F,4,0)</f>
        <v>0</v>
      </c>
      <c r="I16">
        <f>E16-VLOOKUP(A16,'26035'!A:F,5,0)</f>
        <v>0</v>
      </c>
      <c r="J16">
        <f>F16-VLOOKUP(A16,'26035'!A:F,6,0)</f>
        <v>0</v>
      </c>
    </row>
    <row r="17" spans="1:10" ht="15.75" thickBot="1" x14ac:dyDescent="0.3">
      <c r="A17" s="4">
        <v>13</v>
      </c>
      <c r="B17" s="5" t="s">
        <v>29</v>
      </c>
      <c r="C17" s="5" t="s">
        <v>30</v>
      </c>
      <c r="D17" s="6">
        <v>46109</v>
      </c>
      <c r="E17" s="6">
        <v>46109</v>
      </c>
      <c r="F17" s="5"/>
      <c r="H17">
        <f>D17-VLOOKUP(A17,'26035'!A:F,4,0)</f>
        <v>0</v>
      </c>
      <c r="I17">
        <f>E17-VLOOKUP(A17,'26035'!A:F,5,0)</f>
        <v>0</v>
      </c>
      <c r="J17">
        <f>F17-VLOOKUP(A17,'26035'!A:F,6,0)</f>
        <v>0</v>
      </c>
    </row>
    <row r="18" spans="1:10" ht="15.75" thickBot="1" x14ac:dyDescent="0.3">
      <c r="A18" s="4">
        <v>14</v>
      </c>
      <c r="B18" s="5" t="s">
        <v>31</v>
      </c>
      <c r="C18" s="5" t="s">
        <v>10</v>
      </c>
      <c r="D18" s="6">
        <v>46115</v>
      </c>
      <c r="E18" s="6">
        <v>46115</v>
      </c>
      <c r="F18" s="5"/>
      <c r="H18">
        <f>D18-VLOOKUP(A18,'26035'!A:F,4,0)</f>
        <v>0</v>
      </c>
      <c r="I18">
        <f>E18-VLOOKUP(A18,'26035'!A:F,5,0)</f>
        <v>0</v>
      </c>
      <c r="J18">
        <f>F18-VLOOKUP(A18,'26035'!A:F,6,0)</f>
        <v>0</v>
      </c>
    </row>
    <row r="19" spans="1:10" ht="15.75" thickBot="1" x14ac:dyDescent="0.3">
      <c r="A19" s="4" t="s">
        <v>32</v>
      </c>
      <c r="B19" s="5" t="s">
        <v>33</v>
      </c>
      <c r="C19" s="5" t="s">
        <v>34</v>
      </c>
      <c r="D19" s="6">
        <v>46108</v>
      </c>
      <c r="E19" s="6">
        <v>46108</v>
      </c>
      <c r="F19" s="5"/>
      <c r="G19" s="17" t="s">
        <v>107</v>
      </c>
      <c r="H19">
        <f>D19-VLOOKUP(A19,'26035'!A:F,4,0)</f>
        <v>0</v>
      </c>
      <c r="I19">
        <f>E19-VLOOKUP(A19,'26035'!A:F,5,0)</f>
        <v>0</v>
      </c>
      <c r="J19">
        <f>F19-VLOOKUP(A19,'26035'!A:F,6,0)</f>
        <v>0</v>
      </c>
    </row>
    <row r="20" spans="1:10" ht="15.75" thickBot="1" x14ac:dyDescent="0.3">
      <c r="A20" s="4" t="s">
        <v>35</v>
      </c>
      <c r="B20" s="5" t="s">
        <v>36</v>
      </c>
      <c r="C20" s="5" t="s">
        <v>34</v>
      </c>
      <c r="D20" s="6">
        <v>46108</v>
      </c>
      <c r="E20" s="6">
        <v>46108</v>
      </c>
      <c r="F20" s="5"/>
      <c r="H20">
        <f>D20-VLOOKUP(A20,'26035'!A:F,4,0)</f>
        <v>0</v>
      </c>
      <c r="I20">
        <f>E20-VLOOKUP(A20,'26035'!A:F,5,0)</f>
        <v>0</v>
      </c>
      <c r="J20">
        <f>F20-VLOOKUP(A20,'26035'!A:F,6,0)</f>
        <v>0</v>
      </c>
    </row>
    <row r="21" spans="1:10" ht="15.75" thickBot="1" x14ac:dyDescent="0.3">
      <c r="A21" s="4" t="s">
        <v>37</v>
      </c>
      <c r="B21" s="5" t="s">
        <v>38</v>
      </c>
      <c r="C21" s="5" t="s">
        <v>34</v>
      </c>
      <c r="D21" s="6">
        <v>46108</v>
      </c>
      <c r="E21" s="6">
        <v>46108</v>
      </c>
      <c r="F21" s="5"/>
      <c r="H21">
        <f>D21-VLOOKUP(A21,'26035'!A:F,4,0)</f>
        <v>0</v>
      </c>
      <c r="I21">
        <f>E21-VLOOKUP(A21,'26035'!A:F,5,0)</f>
        <v>0</v>
      </c>
      <c r="J21">
        <f>F21-VLOOKUP(A21,'26035'!A:F,6,0)</f>
        <v>0</v>
      </c>
    </row>
    <row r="22" spans="1:10" ht="15.75" thickBot="1" x14ac:dyDescent="0.3">
      <c r="A22" s="4" t="s">
        <v>39</v>
      </c>
      <c r="B22" s="5" t="s">
        <v>40</v>
      </c>
      <c r="C22" s="5" t="s">
        <v>34</v>
      </c>
      <c r="D22" s="6">
        <v>46108</v>
      </c>
      <c r="E22" s="6">
        <v>46108</v>
      </c>
      <c r="F22" s="5"/>
      <c r="H22">
        <f>D22-VLOOKUP(A22,'26035'!A:F,4,0)</f>
        <v>0</v>
      </c>
      <c r="I22">
        <f>E22-VLOOKUP(A22,'26035'!A:F,5,0)</f>
        <v>0</v>
      </c>
      <c r="J22">
        <f>F22-VLOOKUP(A22,'26035'!A:F,6,0)</f>
        <v>0</v>
      </c>
    </row>
    <row r="23" spans="1:10" ht="15.75" thickBot="1" x14ac:dyDescent="0.3">
      <c r="A23" s="4" t="s">
        <v>41</v>
      </c>
      <c r="B23" s="5" t="s">
        <v>42</v>
      </c>
      <c r="C23" s="5" t="s">
        <v>34</v>
      </c>
      <c r="D23" s="6">
        <v>46108</v>
      </c>
      <c r="E23" s="6">
        <v>46108</v>
      </c>
      <c r="F23" s="5"/>
      <c r="H23">
        <f>D23-VLOOKUP(A23,'26035'!A:F,4,0)</f>
        <v>0</v>
      </c>
      <c r="I23">
        <f>E23-VLOOKUP(A23,'26035'!A:F,5,0)</f>
        <v>0</v>
      </c>
      <c r="J23">
        <f>F23-VLOOKUP(A23,'26035'!A:F,6,0)</f>
        <v>0</v>
      </c>
    </row>
    <row r="24" spans="1:10" ht="15.75" thickBot="1" x14ac:dyDescent="0.3">
      <c r="A24" s="4" t="s">
        <v>43</v>
      </c>
      <c r="B24" s="5" t="s">
        <v>44</v>
      </c>
      <c r="C24" s="5" t="s">
        <v>34</v>
      </c>
      <c r="D24" s="6">
        <v>46108</v>
      </c>
      <c r="E24" s="6">
        <v>46108</v>
      </c>
      <c r="F24" s="5"/>
      <c r="H24">
        <f>D24-VLOOKUP(A24,'26035'!A:F,4,0)</f>
        <v>0</v>
      </c>
      <c r="I24">
        <f>E24-VLOOKUP(A24,'26035'!A:F,5,0)</f>
        <v>0</v>
      </c>
      <c r="J24">
        <f>F24-VLOOKUP(A24,'26035'!A:F,6,0)</f>
        <v>0</v>
      </c>
    </row>
    <row r="25" spans="1:10" ht="15.75" thickBot="1" x14ac:dyDescent="0.3">
      <c r="A25" s="4" t="s">
        <v>45</v>
      </c>
      <c r="B25" s="5" t="s">
        <v>46</v>
      </c>
      <c r="C25" s="5" t="s">
        <v>34</v>
      </c>
      <c r="D25" s="6">
        <v>46108</v>
      </c>
      <c r="E25" s="6">
        <v>46108</v>
      </c>
      <c r="F25" s="5"/>
      <c r="H25">
        <f>D25-VLOOKUP(A25,'26035'!A:F,4,0)</f>
        <v>0</v>
      </c>
      <c r="I25">
        <f>E25-VLOOKUP(A25,'26035'!A:F,5,0)</f>
        <v>0</v>
      </c>
      <c r="J25">
        <f>F25-VLOOKUP(A25,'26035'!A:F,6,0)</f>
        <v>0</v>
      </c>
    </row>
    <row r="26" spans="1:10" ht="15.75" thickBot="1" x14ac:dyDescent="0.3">
      <c r="A26" s="4">
        <v>17</v>
      </c>
      <c r="B26" s="5" t="s">
        <v>47</v>
      </c>
      <c r="C26" s="5" t="s">
        <v>1</v>
      </c>
      <c r="D26" s="6">
        <v>46104</v>
      </c>
      <c r="E26" s="6">
        <v>46104</v>
      </c>
      <c r="F26" s="5"/>
      <c r="H26">
        <f>D26-VLOOKUP(A26,'26035'!A:F,4,0)</f>
        <v>0</v>
      </c>
      <c r="I26">
        <f>E26-VLOOKUP(A26,'26035'!A:F,5,0)</f>
        <v>0</v>
      </c>
      <c r="J26">
        <f>F26-VLOOKUP(A26,'26035'!A:F,6,0)</f>
        <v>0</v>
      </c>
    </row>
    <row r="27" spans="1:10" ht="15.75" thickBot="1" x14ac:dyDescent="0.3">
      <c r="A27" s="4">
        <v>18</v>
      </c>
      <c r="B27" s="5" t="s">
        <v>48</v>
      </c>
      <c r="C27" s="5" t="s">
        <v>34</v>
      </c>
      <c r="D27" s="6">
        <v>46113</v>
      </c>
      <c r="E27" s="6">
        <v>46113</v>
      </c>
      <c r="F27" s="5"/>
      <c r="H27">
        <f>D27-VLOOKUP(A27,'26035'!A:F,4,0)</f>
        <v>0</v>
      </c>
      <c r="I27">
        <f>E27-VLOOKUP(A27,'26035'!A:F,5,0)</f>
        <v>0</v>
      </c>
      <c r="J27">
        <f>F27-VLOOKUP(A27,'26035'!A:F,6,0)</f>
        <v>0</v>
      </c>
    </row>
    <row r="28" spans="1:10" ht="15.75" thickBot="1" x14ac:dyDescent="0.3">
      <c r="A28" s="4">
        <v>19</v>
      </c>
      <c r="B28" s="5" t="s">
        <v>49</v>
      </c>
      <c r="C28" s="5" t="s">
        <v>30</v>
      </c>
      <c r="D28" s="6">
        <v>46114</v>
      </c>
      <c r="E28" s="6">
        <v>46114</v>
      </c>
      <c r="F28" s="5"/>
      <c r="H28">
        <f>D28-VLOOKUP(A28,'26035'!A:F,4,0)</f>
        <v>0</v>
      </c>
      <c r="I28">
        <f>E28-VLOOKUP(A28,'26035'!A:F,5,0)</f>
        <v>0</v>
      </c>
      <c r="J28">
        <f>F28-VLOOKUP(A28,'26035'!A:F,6,0)</f>
        <v>0</v>
      </c>
    </row>
    <row r="29" spans="1:10" ht="15.75" thickBot="1" x14ac:dyDescent="0.3">
      <c r="A29" s="4">
        <v>20</v>
      </c>
      <c r="B29" s="5" t="s">
        <v>50</v>
      </c>
      <c r="C29" s="5" t="s">
        <v>30</v>
      </c>
      <c r="D29" s="6">
        <v>46118</v>
      </c>
      <c r="E29" s="6">
        <v>46118</v>
      </c>
      <c r="F29" s="5"/>
      <c r="H29">
        <f>D29-VLOOKUP(A29,'26035'!A:F,4,0)</f>
        <v>0</v>
      </c>
      <c r="I29">
        <f>E29-VLOOKUP(A29,'26035'!A:F,5,0)</f>
        <v>0</v>
      </c>
      <c r="J29">
        <f>F29-VLOOKUP(A29,'26035'!A:F,6,0)</f>
        <v>0</v>
      </c>
    </row>
    <row r="30" spans="1:10" ht="15.75" thickBot="1" x14ac:dyDescent="0.3">
      <c r="A30" s="4">
        <v>23</v>
      </c>
      <c r="B30" s="5" t="s">
        <v>51</v>
      </c>
      <c r="C30" s="5" t="s">
        <v>1</v>
      </c>
      <c r="D30" s="6">
        <v>46124</v>
      </c>
      <c r="E30" s="6">
        <v>46124</v>
      </c>
      <c r="F30" s="5"/>
      <c r="H30">
        <f>D30-VLOOKUP(A30,'26035'!A:F,4,0)</f>
        <v>0</v>
      </c>
      <c r="I30">
        <f>E30-VLOOKUP(A30,'26035'!A:F,5,0)</f>
        <v>0</v>
      </c>
      <c r="J30">
        <f>F30-VLOOKUP(A30,'26035'!A:F,6,0)</f>
        <v>0</v>
      </c>
    </row>
    <row r="31" spans="1:10" ht="15.75" thickBot="1" x14ac:dyDescent="0.3">
      <c r="A31" s="4">
        <v>27</v>
      </c>
      <c r="B31" s="5" t="s">
        <v>52</v>
      </c>
      <c r="C31" s="5" t="s">
        <v>30</v>
      </c>
      <c r="D31" s="6">
        <v>46137</v>
      </c>
      <c r="E31" s="6">
        <v>46137</v>
      </c>
      <c r="F31" s="5"/>
      <c r="H31">
        <f>D31-VLOOKUP(A31,'26035'!A:F,4,0)</f>
        <v>0</v>
      </c>
      <c r="I31">
        <f>E31-VLOOKUP(A31,'26035'!A:F,5,0)</f>
        <v>0</v>
      </c>
      <c r="J31">
        <f>F31-VLOOKUP(A31,'26035'!A:F,6,0)</f>
        <v>0</v>
      </c>
    </row>
    <row r="32" spans="1:10" ht="15.75" thickBot="1" x14ac:dyDescent="0.3">
      <c r="A32" s="4">
        <v>28</v>
      </c>
      <c r="B32" s="5" t="s">
        <v>53</v>
      </c>
      <c r="C32" s="5" t="s">
        <v>30</v>
      </c>
      <c r="D32" s="6">
        <v>46145</v>
      </c>
      <c r="E32" s="6">
        <v>46145</v>
      </c>
      <c r="F32" s="6">
        <v>46127</v>
      </c>
      <c r="G32" s="15" t="s">
        <v>106</v>
      </c>
      <c r="H32">
        <f>D32-VLOOKUP(A32,'26035'!A:F,4,0)</f>
        <v>0</v>
      </c>
      <c r="I32">
        <f>E32-VLOOKUP(A32,'26035'!A:F,5,0)</f>
        <v>0</v>
      </c>
      <c r="J32">
        <f>F32-VLOOKUP(A32,'26035'!A:F,6,0)</f>
        <v>46127</v>
      </c>
    </row>
    <row r="33" spans="1:10" ht="15.75" thickBot="1" x14ac:dyDescent="0.3">
      <c r="A33" s="7">
        <v>29</v>
      </c>
      <c r="B33" s="8" t="s">
        <v>54</v>
      </c>
      <c r="C33" s="8" t="s">
        <v>30</v>
      </c>
      <c r="D33" s="9">
        <v>46145</v>
      </c>
      <c r="E33" s="9">
        <v>46145</v>
      </c>
      <c r="F33" s="8"/>
      <c r="G33" s="15" t="s">
        <v>106</v>
      </c>
      <c r="H33">
        <f>D33-VLOOKUP(A33,'26035'!A:F,4,0)</f>
        <v>0</v>
      </c>
      <c r="I33">
        <f>E33-VLOOKUP(A33,'26035'!A:F,5,0)</f>
        <v>0</v>
      </c>
      <c r="J33">
        <f>F33-VLOOKUP(A33,'26035'!A:F,6,0)</f>
        <v>0</v>
      </c>
    </row>
    <row r="34" spans="1:10" ht="15.75" thickBot="1" x14ac:dyDescent="0.3">
      <c r="A34" s="4">
        <v>30</v>
      </c>
      <c r="B34" s="5" t="s">
        <v>55</v>
      </c>
      <c r="C34" s="5" t="s">
        <v>30</v>
      </c>
      <c r="D34" s="6">
        <v>46141</v>
      </c>
      <c r="E34" s="6">
        <v>46141</v>
      </c>
      <c r="F34" s="5"/>
      <c r="G34" s="15" t="s">
        <v>106</v>
      </c>
      <c r="H34">
        <f>D34-VLOOKUP(A34,'26035'!A:F,4,0)</f>
        <v>0</v>
      </c>
      <c r="I34">
        <f>E34-VLOOKUP(A34,'26035'!A:F,5,0)</f>
        <v>0</v>
      </c>
      <c r="J34">
        <f>F34-VLOOKUP(A34,'26035'!A:F,6,0)</f>
        <v>0</v>
      </c>
    </row>
    <row r="35" spans="1:10" ht="15.75" thickBot="1" x14ac:dyDescent="0.3">
      <c r="A35" s="4">
        <v>31</v>
      </c>
      <c r="B35" s="5" t="s">
        <v>56</v>
      </c>
      <c r="C35" s="5" t="s">
        <v>30</v>
      </c>
      <c r="D35" s="6">
        <v>46143</v>
      </c>
      <c r="E35" s="6">
        <v>46143</v>
      </c>
      <c r="F35" s="5"/>
      <c r="H35">
        <f>D35-VLOOKUP(A35,'26035'!A:F,4,0)</f>
        <v>0</v>
      </c>
      <c r="I35">
        <f>E35-VLOOKUP(A35,'26035'!A:F,5,0)</f>
        <v>0</v>
      </c>
      <c r="J35">
        <f>F35-VLOOKUP(A35,'26035'!A:F,6,0)</f>
        <v>0</v>
      </c>
    </row>
    <row r="36" spans="1:10" ht="15.75" thickBot="1" x14ac:dyDescent="0.3">
      <c r="A36" s="4" t="s">
        <v>57</v>
      </c>
      <c r="B36" s="5" t="s">
        <v>58</v>
      </c>
      <c r="C36" s="5" t="s">
        <v>30</v>
      </c>
      <c r="D36" s="6">
        <v>46143</v>
      </c>
      <c r="E36" s="6">
        <v>46139</v>
      </c>
      <c r="F36" s="5"/>
      <c r="G36" s="14" t="s">
        <v>105</v>
      </c>
      <c r="H36">
        <f>D36-VLOOKUP(A36,'26035'!A:F,4,0)</f>
        <v>0</v>
      </c>
      <c r="I36">
        <f>E36-VLOOKUP(A36,'26035'!A:F,5,0)</f>
        <v>0</v>
      </c>
      <c r="J36">
        <f>F36-VLOOKUP(A36,'26035'!A:F,6,0)</f>
        <v>0</v>
      </c>
    </row>
    <row r="37" spans="1:10" ht="15.75" thickBot="1" x14ac:dyDescent="0.3">
      <c r="A37" s="4" t="s">
        <v>59</v>
      </c>
      <c r="B37" s="5" t="s">
        <v>60</v>
      </c>
      <c r="C37" s="5" t="s">
        <v>30</v>
      </c>
      <c r="D37" s="6">
        <v>46139</v>
      </c>
      <c r="E37" s="6">
        <v>46139</v>
      </c>
      <c r="F37" s="5"/>
      <c r="H37">
        <f>D37-VLOOKUP(A37,'26035'!A:F,4,0)</f>
        <v>0</v>
      </c>
      <c r="I37">
        <f>E37-VLOOKUP(A37,'26035'!A:F,5,0)</f>
        <v>0</v>
      </c>
      <c r="J37">
        <f>F37-VLOOKUP(A37,'26035'!A:F,6,0)</f>
        <v>0</v>
      </c>
    </row>
    <row r="38" spans="1:10" ht="15.75" thickBot="1" x14ac:dyDescent="0.3">
      <c r="A38" s="4" t="s">
        <v>61</v>
      </c>
      <c r="B38" s="5" t="s">
        <v>62</v>
      </c>
      <c r="C38" s="5" t="s">
        <v>30</v>
      </c>
      <c r="D38" s="6">
        <v>46139</v>
      </c>
      <c r="E38" s="6">
        <v>46139</v>
      </c>
      <c r="F38" s="5"/>
      <c r="H38">
        <f>D38-VLOOKUP(A38,'26035'!A:F,4,0)</f>
        <v>0</v>
      </c>
      <c r="I38">
        <f>E38-VLOOKUP(A38,'26035'!A:F,5,0)</f>
        <v>0</v>
      </c>
      <c r="J38">
        <f>F38-VLOOKUP(A38,'26035'!A:F,6,0)</f>
        <v>0</v>
      </c>
    </row>
    <row r="39" spans="1:10" ht="15.75" thickBot="1" x14ac:dyDescent="0.3">
      <c r="A39" s="4" t="s">
        <v>63</v>
      </c>
      <c r="B39" s="5" t="s">
        <v>64</v>
      </c>
      <c r="C39" s="5" t="s">
        <v>30</v>
      </c>
      <c r="D39" s="6">
        <v>46139</v>
      </c>
      <c r="E39" s="6">
        <v>46139</v>
      </c>
      <c r="F39" s="5"/>
      <c r="H39">
        <f>D39-VLOOKUP(A39,'26035'!A:F,4,0)</f>
        <v>0</v>
      </c>
      <c r="I39">
        <f>E39-VLOOKUP(A39,'26035'!A:F,5,0)</f>
        <v>0</v>
      </c>
      <c r="J39">
        <f>F39-VLOOKUP(A39,'26035'!A:F,6,0)</f>
        <v>0</v>
      </c>
    </row>
    <row r="40" spans="1:10" ht="15.75" thickBot="1" x14ac:dyDescent="0.3">
      <c r="A40" s="4" t="s">
        <v>65</v>
      </c>
      <c r="B40" s="5" t="s">
        <v>66</v>
      </c>
      <c r="C40" s="5" t="s">
        <v>30</v>
      </c>
      <c r="D40" s="6">
        <v>46139</v>
      </c>
      <c r="E40" s="6">
        <v>46139</v>
      </c>
      <c r="F40" s="5"/>
      <c r="H40">
        <f>D40-VLOOKUP(A40,'26035'!A:F,4,0)</f>
        <v>0</v>
      </c>
      <c r="I40">
        <f>E40-VLOOKUP(A40,'26035'!A:F,5,0)</f>
        <v>0</v>
      </c>
      <c r="J40">
        <f>F40-VLOOKUP(A40,'26035'!A:F,6,0)</f>
        <v>0</v>
      </c>
    </row>
    <row r="41" spans="1:10" ht="15.75" thickBot="1" x14ac:dyDescent="0.3">
      <c r="A41" s="4" t="s">
        <v>67</v>
      </c>
      <c r="B41" s="5" t="s">
        <v>68</v>
      </c>
      <c r="C41" s="5" t="s">
        <v>30</v>
      </c>
      <c r="D41" s="6">
        <v>46139</v>
      </c>
      <c r="E41" s="6">
        <v>46139</v>
      </c>
      <c r="F41" s="5"/>
      <c r="H41">
        <f>D41-VLOOKUP(A41,'26035'!A:F,4,0)</f>
        <v>0</v>
      </c>
      <c r="I41">
        <f>E41-VLOOKUP(A41,'26035'!A:F,5,0)</f>
        <v>0</v>
      </c>
      <c r="J41">
        <f>F41-VLOOKUP(A41,'26035'!A:F,6,0)</f>
        <v>0</v>
      </c>
    </row>
    <row r="42" spans="1:10" ht="15.75" thickBot="1" x14ac:dyDescent="0.3">
      <c r="A42" s="4" t="s">
        <v>69</v>
      </c>
      <c r="B42" s="5" t="s">
        <v>70</v>
      </c>
      <c r="C42" s="5" t="s">
        <v>30</v>
      </c>
      <c r="D42" s="6">
        <v>46139</v>
      </c>
      <c r="E42" s="6">
        <v>46139</v>
      </c>
      <c r="F42" s="5"/>
      <c r="H42">
        <f>D42-VLOOKUP(A42,'26035'!A:F,4,0)</f>
        <v>0</v>
      </c>
      <c r="I42">
        <f>E42-VLOOKUP(A42,'26035'!A:F,5,0)</f>
        <v>0</v>
      </c>
      <c r="J42">
        <f>F42-VLOOKUP(A42,'26035'!A:F,6,0)</f>
        <v>0</v>
      </c>
    </row>
    <row r="43" spans="1:10" ht="15.75" thickBot="1" x14ac:dyDescent="0.3">
      <c r="A43" s="4">
        <v>33</v>
      </c>
      <c r="B43" s="5" t="s">
        <v>71</v>
      </c>
      <c r="C43" s="5" t="s">
        <v>14</v>
      </c>
      <c r="D43" s="6">
        <v>46149</v>
      </c>
      <c r="E43" s="6">
        <v>46147</v>
      </c>
      <c r="F43" s="5"/>
      <c r="G43" s="14" t="s">
        <v>105</v>
      </c>
      <c r="H43">
        <f>D43-VLOOKUP(A43,'26035'!A:F,4,0)</f>
        <v>0</v>
      </c>
      <c r="I43">
        <f>E43-VLOOKUP(A43,'26035'!A:F,5,0)</f>
        <v>0</v>
      </c>
      <c r="J43">
        <f>F43-VLOOKUP(A43,'26035'!A:F,6,0)</f>
        <v>0</v>
      </c>
    </row>
    <row r="44" spans="1:10" ht="15.75" thickBot="1" x14ac:dyDescent="0.3">
      <c r="A44" s="7" t="s">
        <v>72</v>
      </c>
      <c r="B44" s="8" t="s">
        <v>73</v>
      </c>
      <c r="C44" s="8" t="s">
        <v>14</v>
      </c>
      <c r="D44" s="9">
        <v>46147</v>
      </c>
      <c r="E44" s="9">
        <v>46147</v>
      </c>
      <c r="F44" s="8"/>
      <c r="H44">
        <f>D44-VLOOKUP(A44,'26035'!A:F,4,0)</f>
        <v>0</v>
      </c>
      <c r="I44">
        <f>E44-VLOOKUP(A44,'26035'!A:F,5,0)</f>
        <v>0</v>
      </c>
      <c r="J44">
        <f>F44-VLOOKUP(A44,'26035'!A:F,6,0)</f>
        <v>0</v>
      </c>
    </row>
    <row r="45" spans="1:10" ht="15.75" thickBot="1" x14ac:dyDescent="0.3">
      <c r="A45" s="4" t="s">
        <v>74</v>
      </c>
      <c r="B45" s="5" t="s">
        <v>75</v>
      </c>
      <c r="C45" s="5" t="s">
        <v>14</v>
      </c>
      <c r="D45" s="6">
        <v>46147</v>
      </c>
      <c r="E45" s="6">
        <v>46147</v>
      </c>
      <c r="F45" s="5"/>
      <c r="H45">
        <f>D45-VLOOKUP(A45,'26035'!A:F,4,0)</f>
        <v>0</v>
      </c>
      <c r="I45">
        <f>E45-VLOOKUP(A45,'26035'!A:F,5,0)</f>
        <v>0</v>
      </c>
      <c r="J45">
        <f>F45-VLOOKUP(A45,'26035'!A:F,6,0)</f>
        <v>0</v>
      </c>
    </row>
    <row r="46" spans="1:10" ht="15.75" thickBot="1" x14ac:dyDescent="0.3">
      <c r="A46" s="23" t="s">
        <v>76</v>
      </c>
      <c r="B46" s="24" t="s">
        <v>77</v>
      </c>
      <c r="C46" s="24" t="s">
        <v>14</v>
      </c>
      <c r="D46" s="25">
        <v>46147</v>
      </c>
      <c r="E46" s="25">
        <v>46147</v>
      </c>
      <c r="F46" s="24"/>
      <c r="G46" s="26"/>
      <c r="H46" s="22">
        <f>D46-VLOOKUP(A46,'26035'!A:F,4,0)</f>
        <v>0</v>
      </c>
      <c r="I46" s="22">
        <f>E46-VLOOKUP(A46,'26035'!A:F,5,0)</f>
        <v>0</v>
      </c>
      <c r="J46" s="22">
        <f>F46-VLOOKUP(A46,'26035'!A:F,6,0)</f>
        <v>0</v>
      </c>
    </row>
    <row r="47" spans="1:10" ht="15.75" thickBot="1" x14ac:dyDescent="0.3">
      <c r="A47" s="4" t="s">
        <v>78</v>
      </c>
      <c r="B47" s="5" t="s">
        <v>79</v>
      </c>
      <c r="C47" s="5" t="s">
        <v>14</v>
      </c>
      <c r="D47" s="6">
        <v>46147</v>
      </c>
      <c r="E47" s="6">
        <v>46147</v>
      </c>
      <c r="F47" s="5"/>
      <c r="H47">
        <f>D47-VLOOKUP(A47,'26035'!A:F,4,0)</f>
        <v>0</v>
      </c>
      <c r="I47">
        <f>E47-VLOOKUP(A47,'26035'!A:F,5,0)</f>
        <v>0</v>
      </c>
      <c r="J47">
        <f>F47-VLOOKUP(A47,'26035'!A:F,6,0)</f>
        <v>0</v>
      </c>
    </row>
    <row r="48" spans="1:10" ht="15.75" thickBot="1" x14ac:dyDescent="0.3">
      <c r="A48" s="4" t="s">
        <v>80</v>
      </c>
      <c r="B48" s="5" t="s">
        <v>81</v>
      </c>
      <c r="C48" s="5" t="s">
        <v>14</v>
      </c>
      <c r="D48" s="6">
        <v>46147</v>
      </c>
      <c r="E48" s="6">
        <v>46147</v>
      </c>
      <c r="F48" s="5"/>
      <c r="H48">
        <f>D48-VLOOKUP(A48,'26035'!A:F,4,0)</f>
        <v>0</v>
      </c>
      <c r="I48">
        <f>E48-VLOOKUP(A48,'26035'!A:F,5,0)</f>
        <v>0</v>
      </c>
      <c r="J48">
        <f>F48-VLOOKUP(A48,'26035'!A:F,6,0)</f>
        <v>0</v>
      </c>
    </row>
    <row r="49" spans="1:10" ht="15.75" thickBot="1" x14ac:dyDescent="0.3">
      <c r="A49" s="4" t="s">
        <v>82</v>
      </c>
      <c r="B49" s="5" t="s">
        <v>83</v>
      </c>
      <c r="C49" s="5" t="s">
        <v>14</v>
      </c>
      <c r="D49" s="6">
        <v>46147</v>
      </c>
      <c r="E49" s="6">
        <v>46147</v>
      </c>
      <c r="F49" s="5"/>
      <c r="H49">
        <f>D49-VLOOKUP(A49,'26035'!A:F,4,0)</f>
        <v>0</v>
      </c>
      <c r="I49">
        <f>E49-VLOOKUP(A49,'26035'!A:F,5,0)</f>
        <v>0</v>
      </c>
      <c r="J49">
        <f>F49-VLOOKUP(A49,'26035'!A:F,6,0)</f>
        <v>0</v>
      </c>
    </row>
    <row r="50" spans="1:10" ht="15.75" thickBot="1" x14ac:dyDescent="0.3">
      <c r="A50" s="4" t="s">
        <v>84</v>
      </c>
      <c r="B50" s="5" t="s">
        <v>85</v>
      </c>
      <c r="C50" s="5" t="s">
        <v>14</v>
      </c>
      <c r="D50" s="6">
        <v>46147</v>
      </c>
      <c r="E50" s="6">
        <v>46147</v>
      </c>
      <c r="F50" s="5"/>
      <c r="H50">
        <f>D50-VLOOKUP(A50,'26035'!A:F,4,0)</f>
        <v>0</v>
      </c>
      <c r="I50">
        <f>E50-VLOOKUP(A50,'26035'!A:F,5,0)</f>
        <v>0</v>
      </c>
      <c r="J50">
        <f>F50-VLOOKUP(A50,'26035'!A:F,6,0)</f>
        <v>0</v>
      </c>
    </row>
    <row r="51" spans="1:10" ht="15.75" thickBot="1" x14ac:dyDescent="0.3">
      <c r="A51" s="4">
        <v>34</v>
      </c>
      <c r="B51" s="5" t="s">
        <v>86</v>
      </c>
      <c r="C51" s="5" t="s">
        <v>1</v>
      </c>
      <c r="D51" s="6">
        <v>46156</v>
      </c>
      <c r="E51" s="6">
        <v>46156</v>
      </c>
      <c r="F51" s="5"/>
      <c r="H51">
        <f>D51-VLOOKUP(A51,'26035'!A:F,4,0)</f>
        <v>0</v>
      </c>
      <c r="I51">
        <f>E51-VLOOKUP(A51,'26035'!A:F,5,0)</f>
        <v>0</v>
      </c>
      <c r="J51">
        <f>F51-VLOOKUP(A51,'26035'!A:F,6,0)</f>
        <v>0</v>
      </c>
    </row>
    <row r="52" spans="1:10" ht="15.75" thickBot="1" x14ac:dyDescent="0.3">
      <c r="A52" s="4">
        <v>35</v>
      </c>
      <c r="B52" s="5" t="s">
        <v>87</v>
      </c>
      <c r="C52" s="5" t="s">
        <v>88</v>
      </c>
      <c r="D52" s="6">
        <v>46156</v>
      </c>
      <c r="E52" s="6">
        <v>46172</v>
      </c>
      <c r="F52" s="6">
        <v>46128</v>
      </c>
      <c r="H52">
        <f>D52-VLOOKUP(A52,'26035'!A:F,4,0)</f>
        <v>0</v>
      </c>
      <c r="I52">
        <f>E52-VLOOKUP(A52,'26035'!A:F,5,0)</f>
        <v>0</v>
      </c>
      <c r="J52">
        <f>F52-VLOOKUP(A52,'26035'!A:F,6,0)</f>
        <v>0</v>
      </c>
    </row>
    <row r="53" spans="1:10" ht="15.75" thickBot="1" x14ac:dyDescent="0.3">
      <c r="A53" s="4">
        <v>36</v>
      </c>
      <c r="B53" s="5" t="s">
        <v>89</v>
      </c>
      <c r="C53" s="5" t="s">
        <v>30</v>
      </c>
      <c r="D53" s="6">
        <v>46154</v>
      </c>
      <c r="E53" s="6">
        <v>46154</v>
      </c>
      <c r="F53" s="5"/>
      <c r="H53">
        <f>D53-VLOOKUP(A53,'26035'!A:F,4,0)</f>
        <v>0</v>
      </c>
      <c r="I53">
        <f>E53-VLOOKUP(A53,'26035'!A:F,5,0)</f>
        <v>0</v>
      </c>
      <c r="J53">
        <f>F53-VLOOKUP(A53,'26035'!A:F,6,0)</f>
        <v>0</v>
      </c>
    </row>
    <row r="54" spans="1:10" ht="15.75" thickBot="1" x14ac:dyDescent="0.3">
      <c r="A54" s="4">
        <v>37</v>
      </c>
      <c r="B54" s="5" t="s">
        <v>90</v>
      </c>
      <c r="C54" s="5" t="s">
        <v>30</v>
      </c>
      <c r="D54" s="6">
        <v>46156</v>
      </c>
      <c r="E54" s="6">
        <v>46156</v>
      </c>
      <c r="F54" s="5"/>
      <c r="G54" s="14" t="s">
        <v>105</v>
      </c>
      <c r="H54">
        <f>D54-VLOOKUP(A54,'26035'!A:F,4,0)</f>
        <v>0</v>
      </c>
      <c r="I54">
        <f>E54-VLOOKUP(A54,'26035'!A:F,5,0)</f>
        <v>0</v>
      </c>
      <c r="J54">
        <f>F54-VLOOKUP(A54,'26035'!A:F,6,0)</f>
        <v>0</v>
      </c>
    </row>
    <row r="55" spans="1:10" ht="15.75" thickBot="1" x14ac:dyDescent="0.3">
      <c r="A55" s="4" t="s">
        <v>91</v>
      </c>
      <c r="B55" s="5" t="s">
        <v>92</v>
      </c>
      <c r="C55" s="5" t="s">
        <v>3</v>
      </c>
      <c r="D55" s="6">
        <v>46165</v>
      </c>
      <c r="E55" s="6">
        <v>46165</v>
      </c>
      <c r="F55" s="5"/>
      <c r="G55" s="14" t="s">
        <v>105</v>
      </c>
      <c r="H55">
        <f>D55-VLOOKUP(A55,'26035'!A:F,4,0)</f>
        <v>0</v>
      </c>
      <c r="I55">
        <f>E55-VLOOKUP(A55,'26035'!A:F,5,0)</f>
        <v>0</v>
      </c>
      <c r="J55">
        <f>F55-VLOOKUP(A55,'26035'!A:F,6,0)</f>
        <v>0</v>
      </c>
    </row>
    <row r="56" spans="1:10" ht="15.75" thickBot="1" x14ac:dyDescent="0.3">
      <c r="A56" s="4">
        <v>39</v>
      </c>
      <c r="B56" s="5" t="s">
        <v>93</v>
      </c>
      <c r="C56" s="5" t="s">
        <v>3</v>
      </c>
      <c r="D56" s="6">
        <v>46167</v>
      </c>
      <c r="E56" s="6">
        <v>46167</v>
      </c>
      <c r="F56" s="5"/>
      <c r="G56" s="16" t="s">
        <v>104</v>
      </c>
      <c r="H56">
        <f>D56-VLOOKUP(A56,'26035'!A:F,4,0)</f>
        <v>0</v>
      </c>
      <c r="I56">
        <f>E56-VLOOKUP(A56,'26035'!A:F,5,0)</f>
        <v>0</v>
      </c>
      <c r="J56">
        <f>F56-VLOOKUP(A56,'26035'!A:F,6,0)</f>
        <v>0</v>
      </c>
    </row>
    <row r="57" spans="1:10" ht="15.75" thickBot="1" x14ac:dyDescent="0.3">
      <c r="A57" s="4" t="s">
        <v>94</v>
      </c>
      <c r="B57" s="5" t="s">
        <v>95</v>
      </c>
      <c r="C57" s="5" t="s">
        <v>3</v>
      </c>
      <c r="D57" s="6">
        <v>46171</v>
      </c>
      <c r="E57" s="6">
        <v>46171</v>
      </c>
      <c r="F57" s="5"/>
      <c r="H57">
        <f>D57-VLOOKUP(A57,'26035'!A:F,4,0)</f>
        <v>0</v>
      </c>
      <c r="I57">
        <f>E57-VLOOKUP(A57,'26035'!A:F,5,0)</f>
        <v>0</v>
      </c>
      <c r="J57">
        <f>F57-VLOOKUP(A57,'26035'!A:F,6,0)</f>
        <v>0</v>
      </c>
    </row>
    <row r="58" spans="1:10" ht="15.75" thickBot="1" x14ac:dyDescent="0.3">
      <c r="A58" s="10" t="s">
        <v>96</v>
      </c>
      <c r="B58" s="11" t="s">
        <v>97</v>
      </c>
      <c r="C58" s="11" t="s">
        <v>5</v>
      </c>
      <c r="D58" s="12">
        <v>46096</v>
      </c>
      <c r="E58" s="12">
        <v>46096</v>
      </c>
      <c r="F58" s="11"/>
      <c r="H58">
        <f>D58-VLOOKUP(A58,'26035'!A:F,4,0)</f>
        <v>0</v>
      </c>
      <c r="I58">
        <f>E58-VLOOKUP(A58,'26035'!A:F,5,0)</f>
        <v>0</v>
      </c>
      <c r="J58">
        <f>F58-VLOOKUP(A58,'26035'!A:F,6,0)</f>
        <v>0</v>
      </c>
    </row>
  </sheetData>
  <autoFilter ref="A1:J58" xr:uid="{C011C10A-BF9B-4213-99F8-583DC597D3B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69C7-7461-47E4-A3FB-1E619F276F01}">
  <sheetPr codeName="Sheet6"/>
  <dimension ref="A1:J58"/>
  <sheetViews>
    <sheetView workbookViewId="0">
      <pane ySplit="1" topLeftCell="A2" activePane="bottomLeft" state="frozen"/>
      <selection pane="bottomLeft" activeCell="C25" sqref="C25"/>
    </sheetView>
  </sheetViews>
  <sheetFormatPr defaultRowHeight="15" x14ac:dyDescent="0.25"/>
  <cols>
    <col min="1" max="1" width="26.7109375" bestFit="1" customWidth="1"/>
    <col min="2" max="2" width="60.5703125" bestFit="1" customWidth="1"/>
    <col min="3" max="3" width="41.140625" bestFit="1" customWidth="1"/>
    <col min="4" max="4" width="16.28515625" bestFit="1" customWidth="1"/>
    <col min="5" max="5" width="21.140625" bestFit="1" customWidth="1"/>
    <col min="6" max="6" width="17.42578125" bestFit="1" customWidth="1"/>
    <col min="7" max="7" width="9.42578125" style="13" bestFit="1" customWidth="1"/>
    <col min="8" max="8" width="10.5703125" bestFit="1" customWidth="1"/>
    <col min="9" max="10" width="11.85546875" bestFit="1" customWidth="1"/>
  </cols>
  <sheetData>
    <row r="1" spans="1:10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s="13" t="s">
        <v>109</v>
      </c>
      <c r="H1" t="s">
        <v>110</v>
      </c>
      <c r="I1" t="s">
        <v>111</v>
      </c>
      <c r="J1" t="s">
        <v>112</v>
      </c>
    </row>
    <row r="2" spans="1:10" ht="15.75" thickBot="1" x14ac:dyDescent="0.3">
      <c r="A2" s="1">
        <v>1</v>
      </c>
      <c r="B2" s="2" t="s">
        <v>0</v>
      </c>
      <c r="C2" s="2" t="s">
        <v>1</v>
      </c>
      <c r="D2" s="3">
        <v>46089</v>
      </c>
      <c r="E2" s="3">
        <v>46089</v>
      </c>
      <c r="F2" s="2"/>
      <c r="H2">
        <f>D2-VLOOKUP(A2,'26035'!A:F,4,0)</f>
        <v>0</v>
      </c>
      <c r="I2">
        <f>E2-VLOOKUP(A2,'26035'!A:F,5,0)</f>
        <v>0</v>
      </c>
      <c r="J2">
        <f>F2-VLOOKUP(A2,'26035'!A:F,6,0)</f>
        <v>0</v>
      </c>
    </row>
    <row r="3" spans="1:10" ht="15.75" thickBot="1" x14ac:dyDescent="0.3">
      <c r="A3" s="4">
        <v>3</v>
      </c>
      <c r="B3" s="5" t="s">
        <v>2</v>
      </c>
      <c r="C3" s="5" t="s">
        <v>3</v>
      </c>
      <c r="D3" s="6">
        <v>46094</v>
      </c>
      <c r="E3" s="6">
        <v>46094</v>
      </c>
      <c r="F3" s="5"/>
      <c r="H3">
        <f>D3-VLOOKUP(A3,'26035'!A:F,4,0)</f>
        <v>0</v>
      </c>
      <c r="I3">
        <f>E3-VLOOKUP(A3,'26035'!A:F,5,0)</f>
        <v>0</v>
      </c>
      <c r="J3">
        <f>F3-VLOOKUP(A3,'26035'!A:F,6,0)</f>
        <v>0</v>
      </c>
    </row>
    <row r="4" spans="1:10" ht="15.75" thickBot="1" x14ac:dyDescent="0.3">
      <c r="A4" s="4">
        <v>4</v>
      </c>
      <c r="B4" s="5" t="s">
        <v>4</v>
      </c>
      <c r="C4" s="5" t="s">
        <v>5</v>
      </c>
      <c r="D4" s="6">
        <v>46096</v>
      </c>
      <c r="E4" s="6">
        <v>46096</v>
      </c>
      <c r="F4" s="6">
        <v>46096</v>
      </c>
      <c r="G4" s="18" t="s">
        <v>108</v>
      </c>
      <c r="H4">
        <f>D4-VLOOKUP(A4,'26035'!A:F,4,0)</f>
        <v>0</v>
      </c>
      <c r="I4">
        <f>E4-VLOOKUP(A4,'26035'!A:F,5,0)</f>
        <v>0</v>
      </c>
      <c r="J4">
        <f>F4-VLOOKUP(A4,'26035'!A:F,6,0)</f>
        <v>0</v>
      </c>
    </row>
    <row r="5" spans="1:10" ht="15.75" thickBot="1" x14ac:dyDescent="0.3">
      <c r="A5" s="4">
        <v>5</v>
      </c>
      <c r="B5" s="5" t="s">
        <v>6</v>
      </c>
      <c r="C5" s="5" t="s">
        <v>3</v>
      </c>
      <c r="D5" s="6">
        <v>46103</v>
      </c>
      <c r="E5" s="6">
        <v>46103</v>
      </c>
      <c r="F5" s="5"/>
      <c r="H5">
        <f>D5-VLOOKUP(A5,'26035'!A:F,4,0)</f>
        <v>0</v>
      </c>
      <c r="I5">
        <f>E5-VLOOKUP(A5,'26035'!A:F,5,0)</f>
        <v>0</v>
      </c>
      <c r="J5">
        <f>F5-VLOOKUP(A5,'26035'!A:F,6,0)</f>
        <v>0</v>
      </c>
    </row>
    <row r="6" spans="1:10" ht="15.75" thickBot="1" x14ac:dyDescent="0.3">
      <c r="A6" s="4" t="s">
        <v>7</v>
      </c>
      <c r="B6" s="5" t="s">
        <v>8</v>
      </c>
      <c r="C6" s="5" t="s">
        <v>3</v>
      </c>
      <c r="D6" s="6">
        <v>46107</v>
      </c>
      <c r="E6" s="6">
        <v>46107</v>
      </c>
      <c r="F6" s="5"/>
      <c r="H6">
        <f>D6-VLOOKUP(A6,'26035'!A:F,4,0)</f>
        <v>0</v>
      </c>
      <c r="I6">
        <f>E6-VLOOKUP(A6,'26035'!A:F,5,0)</f>
        <v>0</v>
      </c>
      <c r="J6">
        <f>F6-VLOOKUP(A6,'26035'!A:F,6,0)</f>
        <v>0</v>
      </c>
    </row>
    <row r="7" spans="1:10" ht="15.75" thickBot="1" x14ac:dyDescent="0.3">
      <c r="A7" s="4">
        <v>7</v>
      </c>
      <c r="B7" s="5" t="s">
        <v>9</v>
      </c>
      <c r="C7" s="5" t="s">
        <v>10</v>
      </c>
      <c r="D7" s="6">
        <v>46114</v>
      </c>
      <c r="E7" s="6">
        <v>46114</v>
      </c>
      <c r="F7" s="5"/>
      <c r="H7">
        <f>D7-VLOOKUP(A7,'26035'!A:F,4,0)</f>
        <v>0</v>
      </c>
      <c r="I7">
        <f>E7-VLOOKUP(A7,'26035'!A:F,5,0)</f>
        <v>0</v>
      </c>
      <c r="J7">
        <f>F7-VLOOKUP(A7,'26035'!A:F,6,0)</f>
        <v>0</v>
      </c>
    </row>
    <row r="8" spans="1:10" ht="15.75" thickBot="1" x14ac:dyDescent="0.3">
      <c r="A8" s="4" t="s">
        <v>11</v>
      </c>
      <c r="B8" s="5" t="s">
        <v>12</v>
      </c>
      <c r="C8" s="5" t="s">
        <v>3</v>
      </c>
      <c r="D8" s="6">
        <v>46109</v>
      </c>
      <c r="E8" s="6">
        <v>46109</v>
      </c>
      <c r="F8" s="5"/>
      <c r="H8">
        <f>D8-VLOOKUP(A8,'26035'!A:F,4,0)</f>
        <v>0</v>
      </c>
      <c r="I8">
        <f>E8-VLOOKUP(A8,'26035'!A:F,5,0)</f>
        <v>0</v>
      </c>
      <c r="J8">
        <f>F8-VLOOKUP(A8,'26035'!A:F,6,0)</f>
        <v>0</v>
      </c>
    </row>
    <row r="9" spans="1:10" ht="15.75" thickBot="1" x14ac:dyDescent="0.3">
      <c r="A9" s="4">
        <v>9</v>
      </c>
      <c r="B9" s="5" t="s">
        <v>13</v>
      </c>
      <c r="C9" s="5" t="s">
        <v>14</v>
      </c>
      <c r="D9" s="6">
        <v>46109</v>
      </c>
      <c r="E9" s="6">
        <v>46109</v>
      </c>
      <c r="F9" s="5"/>
      <c r="H9">
        <f>D9-VLOOKUP(A9,'26035'!A:F,4,0)</f>
        <v>0</v>
      </c>
      <c r="I9">
        <f>E9-VLOOKUP(A9,'26035'!A:F,5,0)</f>
        <v>0</v>
      </c>
      <c r="J9">
        <f>F9-VLOOKUP(A9,'26035'!A:F,6,0)</f>
        <v>0</v>
      </c>
    </row>
    <row r="10" spans="1:10" ht="15.75" thickBot="1" x14ac:dyDescent="0.3">
      <c r="A10" s="4" t="s">
        <v>15</v>
      </c>
      <c r="B10" s="5" t="s">
        <v>16</v>
      </c>
      <c r="C10" s="5" t="s">
        <v>14</v>
      </c>
      <c r="D10" s="6">
        <v>46109</v>
      </c>
      <c r="E10" s="6">
        <v>46109</v>
      </c>
      <c r="F10" s="5"/>
      <c r="H10">
        <f>D10-VLOOKUP(A10,'26035'!A:F,4,0)</f>
        <v>0</v>
      </c>
      <c r="I10">
        <f>E10-VLOOKUP(A10,'26035'!A:F,5,0)</f>
        <v>0</v>
      </c>
      <c r="J10">
        <f>F10-VLOOKUP(A10,'26035'!A:F,6,0)</f>
        <v>0</v>
      </c>
    </row>
    <row r="11" spans="1:10" ht="15.75" thickBot="1" x14ac:dyDescent="0.3">
      <c r="A11" s="4" t="s">
        <v>17</v>
      </c>
      <c r="B11" s="5" t="s">
        <v>18</v>
      </c>
      <c r="C11" s="5" t="s">
        <v>14</v>
      </c>
      <c r="D11" s="6">
        <v>46109</v>
      </c>
      <c r="E11" s="6">
        <v>46109</v>
      </c>
      <c r="F11" s="5"/>
      <c r="H11">
        <f>D11-VLOOKUP(A11,'26035'!A:F,4,0)</f>
        <v>0</v>
      </c>
      <c r="I11">
        <f>E11-VLOOKUP(A11,'26035'!A:F,5,0)</f>
        <v>0</v>
      </c>
      <c r="J11">
        <f>F11-VLOOKUP(A11,'26035'!A:F,6,0)</f>
        <v>0</v>
      </c>
    </row>
    <row r="12" spans="1:10" ht="15.75" thickBot="1" x14ac:dyDescent="0.3">
      <c r="A12" s="4" t="s">
        <v>19</v>
      </c>
      <c r="B12" s="5" t="s">
        <v>20</v>
      </c>
      <c r="C12" s="5" t="s">
        <v>14</v>
      </c>
      <c r="D12" s="6">
        <v>46109</v>
      </c>
      <c r="E12" s="6">
        <v>46109</v>
      </c>
      <c r="F12" s="5"/>
      <c r="H12">
        <f>D12-VLOOKUP(A12,'26035'!A:F,4,0)</f>
        <v>0</v>
      </c>
      <c r="I12">
        <f>E12-VLOOKUP(A12,'26035'!A:F,5,0)</f>
        <v>0</v>
      </c>
      <c r="J12">
        <f>F12-VLOOKUP(A12,'26035'!A:F,6,0)</f>
        <v>0</v>
      </c>
    </row>
    <row r="13" spans="1:10" ht="15.75" thickBot="1" x14ac:dyDescent="0.3">
      <c r="A13" s="4" t="s">
        <v>21</v>
      </c>
      <c r="B13" s="5" t="s">
        <v>22</v>
      </c>
      <c r="C13" s="5" t="s">
        <v>14</v>
      </c>
      <c r="D13" s="6">
        <v>46109</v>
      </c>
      <c r="E13" s="6">
        <v>46109</v>
      </c>
      <c r="F13" s="5"/>
      <c r="H13">
        <f>D13-VLOOKUP(A13,'26035'!A:F,4,0)</f>
        <v>0</v>
      </c>
      <c r="I13">
        <f>E13-VLOOKUP(A13,'26035'!A:F,5,0)</f>
        <v>0</v>
      </c>
      <c r="J13">
        <f>F13-VLOOKUP(A13,'26035'!A:F,6,0)</f>
        <v>0</v>
      </c>
    </row>
    <row r="14" spans="1:10" ht="15.75" thickBot="1" x14ac:dyDescent="0.3">
      <c r="A14" s="4" t="s">
        <v>23</v>
      </c>
      <c r="B14" s="5" t="s">
        <v>24</v>
      </c>
      <c r="C14" s="5" t="s">
        <v>14</v>
      </c>
      <c r="D14" s="6">
        <v>46109</v>
      </c>
      <c r="E14" s="6">
        <v>46109</v>
      </c>
      <c r="F14" s="5"/>
      <c r="H14">
        <f>D14-VLOOKUP(A14,'26035'!A:F,4,0)</f>
        <v>0</v>
      </c>
      <c r="I14">
        <f>E14-VLOOKUP(A14,'26035'!A:F,5,0)</f>
        <v>0</v>
      </c>
      <c r="J14">
        <f>F14-VLOOKUP(A14,'26035'!A:F,6,0)</f>
        <v>0</v>
      </c>
    </row>
    <row r="15" spans="1:10" ht="15.75" thickBot="1" x14ac:dyDescent="0.3">
      <c r="A15" s="4" t="s">
        <v>25</v>
      </c>
      <c r="B15" s="5" t="s">
        <v>26</v>
      </c>
      <c r="C15" s="5" t="s">
        <v>14</v>
      </c>
      <c r="D15" s="6">
        <v>46109</v>
      </c>
      <c r="E15" s="6">
        <v>46109</v>
      </c>
      <c r="F15" s="5"/>
      <c r="H15">
        <f>D15-VLOOKUP(A15,'26035'!A:F,4,0)</f>
        <v>0</v>
      </c>
      <c r="I15">
        <f>E15-VLOOKUP(A15,'26035'!A:F,5,0)</f>
        <v>0</v>
      </c>
      <c r="J15">
        <f>F15-VLOOKUP(A15,'26035'!A:F,6,0)</f>
        <v>0</v>
      </c>
    </row>
    <row r="16" spans="1:10" ht="15.75" thickBot="1" x14ac:dyDescent="0.3">
      <c r="A16" s="4" t="s">
        <v>27</v>
      </c>
      <c r="B16" s="5" t="s">
        <v>28</v>
      </c>
      <c r="C16" s="5" t="s">
        <v>14</v>
      </c>
      <c r="D16" s="6">
        <v>46108</v>
      </c>
      <c r="E16" s="6">
        <v>46108</v>
      </c>
      <c r="F16" s="5"/>
      <c r="H16">
        <f>D16-VLOOKUP(A16,'26035'!A:F,4,0)</f>
        <v>0</v>
      </c>
      <c r="I16">
        <f>E16-VLOOKUP(A16,'26035'!A:F,5,0)</f>
        <v>0</v>
      </c>
      <c r="J16">
        <f>F16-VLOOKUP(A16,'26035'!A:F,6,0)</f>
        <v>0</v>
      </c>
    </row>
    <row r="17" spans="1:10" ht="15.75" thickBot="1" x14ac:dyDescent="0.3">
      <c r="A17" s="4">
        <v>13</v>
      </c>
      <c r="B17" s="5" t="s">
        <v>29</v>
      </c>
      <c r="C17" s="5" t="s">
        <v>30</v>
      </c>
      <c r="D17" s="6">
        <v>46109</v>
      </c>
      <c r="E17" s="6">
        <v>46109</v>
      </c>
      <c r="F17" s="5"/>
      <c r="H17">
        <f>D17-VLOOKUP(A17,'26035'!A:F,4,0)</f>
        <v>0</v>
      </c>
      <c r="I17">
        <f>E17-VLOOKUP(A17,'26035'!A:F,5,0)</f>
        <v>0</v>
      </c>
      <c r="J17">
        <f>F17-VLOOKUP(A17,'26035'!A:F,6,0)</f>
        <v>0</v>
      </c>
    </row>
    <row r="18" spans="1:10" ht="15.75" thickBot="1" x14ac:dyDescent="0.3">
      <c r="A18" s="4">
        <v>14</v>
      </c>
      <c r="B18" s="5" t="s">
        <v>31</v>
      </c>
      <c r="C18" s="5" t="s">
        <v>10</v>
      </c>
      <c r="D18" s="6">
        <v>46115</v>
      </c>
      <c r="E18" s="6">
        <v>46115</v>
      </c>
      <c r="F18" s="5"/>
      <c r="H18">
        <f>D18-VLOOKUP(A18,'26035'!A:F,4,0)</f>
        <v>0</v>
      </c>
      <c r="I18">
        <f>E18-VLOOKUP(A18,'26035'!A:F,5,0)</f>
        <v>0</v>
      </c>
      <c r="J18">
        <f>F18-VLOOKUP(A18,'26035'!A:F,6,0)</f>
        <v>0</v>
      </c>
    </row>
    <row r="19" spans="1:10" ht="15.75" thickBot="1" x14ac:dyDescent="0.3">
      <c r="A19" s="4" t="s">
        <v>32</v>
      </c>
      <c r="B19" s="5" t="s">
        <v>33</v>
      </c>
      <c r="C19" s="5" t="s">
        <v>34</v>
      </c>
      <c r="D19" s="6">
        <v>46108</v>
      </c>
      <c r="E19" s="6">
        <v>46108</v>
      </c>
      <c r="F19" s="5"/>
      <c r="G19" s="17" t="s">
        <v>107</v>
      </c>
      <c r="H19">
        <f>D19-VLOOKUP(A19,'26035'!A:F,4,0)</f>
        <v>0</v>
      </c>
      <c r="I19">
        <f>E19-VLOOKUP(A19,'26035'!A:F,5,0)</f>
        <v>0</v>
      </c>
      <c r="J19">
        <f>F19-VLOOKUP(A19,'26035'!A:F,6,0)</f>
        <v>0</v>
      </c>
    </row>
    <row r="20" spans="1:10" ht="15.75" thickBot="1" x14ac:dyDescent="0.3">
      <c r="A20" s="4" t="s">
        <v>35</v>
      </c>
      <c r="B20" s="5" t="s">
        <v>36</v>
      </c>
      <c r="C20" s="5" t="s">
        <v>34</v>
      </c>
      <c r="D20" s="6">
        <v>46108</v>
      </c>
      <c r="E20" s="6">
        <v>46108</v>
      </c>
      <c r="F20" s="5"/>
      <c r="H20">
        <f>D20-VLOOKUP(A20,'26035'!A:F,4,0)</f>
        <v>0</v>
      </c>
      <c r="I20">
        <f>E20-VLOOKUP(A20,'26035'!A:F,5,0)</f>
        <v>0</v>
      </c>
      <c r="J20">
        <f>F20-VLOOKUP(A20,'26035'!A:F,6,0)</f>
        <v>0</v>
      </c>
    </row>
    <row r="21" spans="1:10" ht="15.75" thickBot="1" x14ac:dyDescent="0.3">
      <c r="A21" s="4" t="s">
        <v>37</v>
      </c>
      <c r="B21" s="5" t="s">
        <v>38</v>
      </c>
      <c r="C21" s="5" t="s">
        <v>34</v>
      </c>
      <c r="D21" s="6">
        <v>46108</v>
      </c>
      <c r="E21" s="6">
        <v>46108</v>
      </c>
      <c r="F21" s="5"/>
      <c r="H21">
        <f>D21-VLOOKUP(A21,'26035'!A:F,4,0)</f>
        <v>0</v>
      </c>
      <c r="I21">
        <f>E21-VLOOKUP(A21,'26035'!A:F,5,0)</f>
        <v>0</v>
      </c>
      <c r="J21">
        <f>F21-VLOOKUP(A21,'26035'!A:F,6,0)</f>
        <v>0</v>
      </c>
    </row>
    <row r="22" spans="1:10" ht="15.75" thickBot="1" x14ac:dyDescent="0.3">
      <c r="A22" s="4" t="s">
        <v>39</v>
      </c>
      <c r="B22" s="5" t="s">
        <v>40</v>
      </c>
      <c r="C22" s="5" t="s">
        <v>34</v>
      </c>
      <c r="D22" s="6">
        <v>46108</v>
      </c>
      <c r="E22" s="6">
        <v>46108</v>
      </c>
      <c r="F22" s="5"/>
      <c r="H22">
        <f>D22-VLOOKUP(A22,'26035'!A:F,4,0)</f>
        <v>0</v>
      </c>
      <c r="I22">
        <f>E22-VLOOKUP(A22,'26035'!A:F,5,0)</f>
        <v>0</v>
      </c>
      <c r="J22">
        <f>F22-VLOOKUP(A22,'26035'!A:F,6,0)</f>
        <v>0</v>
      </c>
    </row>
    <row r="23" spans="1:10" ht="15.75" thickBot="1" x14ac:dyDescent="0.3">
      <c r="A23" s="4" t="s">
        <v>41</v>
      </c>
      <c r="B23" s="5" t="s">
        <v>42</v>
      </c>
      <c r="C23" s="5" t="s">
        <v>34</v>
      </c>
      <c r="D23" s="6">
        <v>46108</v>
      </c>
      <c r="E23" s="6">
        <v>46108</v>
      </c>
      <c r="F23" s="5"/>
      <c r="H23">
        <f>D23-VLOOKUP(A23,'26035'!A:F,4,0)</f>
        <v>0</v>
      </c>
      <c r="I23">
        <f>E23-VLOOKUP(A23,'26035'!A:F,5,0)</f>
        <v>0</v>
      </c>
      <c r="J23">
        <f>F23-VLOOKUP(A23,'26035'!A:F,6,0)</f>
        <v>0</v>
      </c>
    </row>
    <row r="24" spans="1:10" ht="15.75" thickBot="1" x14ac:dyDescent="0.3">
      <c r="A24" s="4" t="s">
        <v>43</v>
      </c>
      <c r="B24" s="5" t="s">
        <v>44</v>
      </c>
      <c r="C24" s="5" t="s">
        <v>34</v>
      </c>
      <c r="D24" s="6">
        <v>46108</v>
      </c>
      <c r="E24" s="6">
        <v>46108</v>
      </c>
      <c r="F24" s="5"/>
      <c r="H24">
        <f>D24-VLOOKUP(A24,'26035'!A:F,4,0)</f>
        <v>0</v>
      </c>
      <c r="I24">
        <f>E24-VLOOKUP(A24,'26035'!A:F,5,0)</f>
        <v>0</v>
      </c>
      <c r="J24">
        <f>F24-VLOOKUP(A24,'26035'!A:F,6,0)</f>
        <v>0</v>
      </c>
    </row>
    <row r="25" spans="1:10" ht="15.75" thickBot="1" x14ac:dyDescent="0.3">
      <c r="A25" s="4" t="s">
        <v>45</v>
      </c>
      <c r="B25" s="5" t="s">
        <v>46</v>
      </c>
      <c r="C25" s="5" t="s">
        <v>34</v>
      </c>
      <c r="D25" s="6">
        <v>46108</v>
      </c>
      <c r="E25" s="6">
        <v>46108</v>
      </c>
      <c r="F25" s="5"/>
      <c r="H25">
        <f>D25-VLOOKUP(A25,'26035'!A:F,4,0)</f>
        <v>0</v>
      </c>
      <c r="I25">
        <f>E25-VLOOKUP(A25,'26035'!A:F,5,0)</f>
        <v>0</v>
      </c>
      <c r="J25">
        <f>F25-VLOOKUP(A25,'26035'!A:F,6,0)</f>
        <v>0</v>
      </c>
    </row>
    <row r="26" spans="1:10" ht="15.75" thickBot="1" x14ac:dyDescent="0.3">
      <c r="A26" s="4">
        <v>17</v>
      </c>
      <c r="B26" s="5" t="s">
        <v>47</v>
      </c>
      <c r="C26" s="5" t="s">
        <v>1</v>
      </c>
      <c r="D26" s="6">
        <v>46104</v>
      </c>
      <c r="E26" s="6">
        <v>46104</v>
      </c>
      <c r="F26" s="5"/>
      <c r="H26">
        <f>D26-VLOOKUP(A26,'26035'!A:F,4,0)</f>
        <v>0</v>
      </c>
      <c r="I26">
        <f>E26-VLOOKUP(A26,'26035'!A:F,5,0)</f>
        <v>0</v>
      </c>
      <c r="J26">
        <f>F26-VLOOKUP(A26,'26035'!A:F,6,0)</f>
        <v>0</v>
      </c>
    </row>
    <row r="27" spans="1:10" ht="15.75" thickBot="1" x14ac:dyDescent="0.3">
      <c r="A27" s="4">
        <v>18</v>
      </c>
      <c r="B27" s="5" t="s">
        <v>48</v>
      </c>
      <c r="C27" s="5" t="s">
        <v>34</v>
      </c>
      <c r="D27" s="6">
        <v>46113</v>
      </c>
      <c r="E27" s="6">
        <v>46113</v>
      </c>
      <c r="F27" s="5"/>
      <c r="H27">
        <f>D27-VLOOKUP(A27,'26035'!A:F,4,0)</f>
        <v>0</v>
      </c>
      <c r="I27">
        <f>E27-VLOOKUP(A27,'26035'!A:F,5,0)</f>
        <v>0</v>
      </c>
      <c r="J27">
        <f>F27-VLOOKUP(A27,'26035'!A:F,6,0)</f>
        <v>0</v>
      </c>
    </row>
    <row r="28" spans="1:10" ht="15.75" thickBot="1" x14ac:dyDescent="0.3">
      <c r="A28" s="4">
        <v>19</v>
      </c>
      <c r="B28" s="5" t="s">
        <v>49</v>
      </c>
      <c r="C28" s="5" t="s">
        <v>30</v>
      </c>
      <c r="D28" s="6">
        <v>46114</v>
      </c>
      <c r="E28" s="6">
        <v>46114</v>
      </c>
      <c r="F28" s="5"/>
      <c r="H28">
        <f>D28-VLOOKUP(A28,'26035'!A:F,4,0)</f>
        <v>0</v>
      </c>
      <c r="I28">
        <f>E28-VLOOKUP(A28,'26035'!A:F,5,0)</f>
        <v>0</v>
      </c>
      <c r="J28">
        <f>F28-VLOOKUP(A28,'26035'!A:F,6,0)</f>
        <v>0</v>
      </c>
    </row>
    <row r="29" spans="1:10" ht="15.75" thickBot="1" x14ac:dyDescent="0.3">
      <c r="A29" s="4">
        <v>20</v>
      </c>
      <c r="B29" s="5" t="s">
        <v>50</v>
      </c>
      <c r="C29" s="5" t="s">
        <v>30</v>
      </c>
      <c r="D29" s="6">
        <v>46118</v>
      </c>
      <c r="E29" s="6">
        <v>46118</v>
      </c>
      <c r="F29" s="5"/>
      <c r="H29">
        <f>D29-VLOOKUP(A29,'26035'!A:F,4,0)</f>
        <v>0</v>
      </c>
      <c r="I29">
        <f>E29-VLOOKUP(A29,'26035'!A:F,5,0)</f>
        <v>0</v>
      </c>
      <c r="J29">
        <f>F29-VLOOKUP(A29,'26035'!A:F,6,0)</f>
        <v>0</v>
      </c>
    </row>
    <row r="30" spans="1:10" ht="15.75" thickBot="1" x14ac:dyDescent="0.3">
      <c r="A30" s="4">
        <v>23</v>
      </c>
      <c r="B30" s="5" t="s">
        <v>51</v>
      </c>
      <c r="C30" s="5" t="s">
        <v>1</v>
      </c>
      <c r="D30" s="6">
        <v>46124</v>
      </c>
      <c r="E30" s="6">
        <v>46124</v>
      </c>
      <c r="F30" s="5"/>
      <c r="H30">
        <f>D30-VLOOKUP(A30,'26035'!A:F,4,0)</f>
        <v>0</v>
      </c>
      <c r="I30">
        <f>E30-VLOOKUP(A30,'26035'!A:F,5,0)</f>
        <v>0</v>
      </c>
      <c r="J30">
        <f>F30-VLOOKUP(A30,'26035'!A:F,6,0)</f>
        <v>0</v>
      </c>
    </row>
    <row r="31" spans="1:10" ht="15.75" thickBot="1" x14ac:dyDescent="0.3">
      <c r="A31" s="4">
        <v>27</v>
      </c>
      <c r="B31" s="5" t="s">
        <v>52</v>
      </c>
      <c r="C31" s="5" t="s">
        <v>30</v>
      </c>
      <c r="D31" s="6">
        <v>46137</v>
      </c>
      <c r="E31" s="6">
        <v>46137</v>
      </c>
      <c r="F31" s="5"/>
      <c r="H31">
        <f>D31-VLOOKUP(A31,'26035'!A:F,4,0)</f>
        <v>0</v>
      </c>
      <c r="I31">
        <f>E31-VLOOKUP(A31,'26035'!A:F,5,0)</f>
        <v>0</v>
      </c>
      <c r="J31">
        <f>F31-VLOOKUP(A31,'26035'!A:F,6,0)</f>
        <v>0</v>
      </c>
    </row>
    <row r="32" spans="1:10" ht="15.75" thickBot="1" x14ac:dyDescent="0.3">
      <c r="A32" s="4">
        <v>28</v>
      </c>
      <c r="B32" s="5" t="s">
        <v>53</v>
      </c>
      <c r="C32" s="5" t="s">
        <v>30</v>
      </c>
      <c r="D32" s="6">
        <v>46145</v>
      </c>
      <c r="E32" s="6">
        <v>46145</v>
      </c>
      <c r="F32" s="6">
        <v>46127</v>
      </c>
      <c r="G32" s="15" t="s">
        <v>106</v>
      </c>
      <c r="H32">
        <f>D32-VLOOKUP(A32,'26035'!A:F,4,0)</f>
        <v>0</v>
      </c>
      <c r="I32">
        <f>E32-VLOOKUP(A32,'26035'!A:F,5,0)</f>
        <v>0</v>
      </c>
      <c r="J32">
        <f>F32-VLOOKUP(A32,'26035'!A:F,6,0)</f>
        <v>46127</v>
      </c>
    </row>
    <row r="33" spans="1:10" ht="15.75" thickBot="1" x14ac:dyDescent="0.3">
      <c r="A33" s="7">
        <v>29</v>
      </c>
      <c r="B33" s="8" t="s">
        <v>54</v>
      </c>
      <c r="C33" s="8" t="s">
        <v>30</v>
      </c>
      <c r="D33" s="9">
        <v>46145</v>
      </c>
      <c r="E33" s="9">
        <v>46108</v>
      </c>
      <c r="F33" s="8"/>
      <c r="G33" s="15" t="s">
        <v>106</v>
      </c>
      <c r="H33">
        <f>D33-VLOOKUP(A33,'26035'!A:F,4,0)</f>
        <v>0</v>
      </c>
      <c r="I33">
        <f>E33-VLOOKUP(A33,'26035'!A:F,5,0)</f>
        <v>-37</v>
      </c>
      <c r="J33">
        <f>F33-VLOOKUP(A33,'26035'!A:F,6,0)</f>
        <v>0</v>
      </c>
    </row>
    <row r="34" spans="1:10" ht="15.75" thickBot="1" x14ac:dyDescent="0.3">
      <c r="A34" s="4">
        <v>30</v>
      </c>
      <c r="B34" s="5" t="s">
        <v>55</v>
      </c>
      <c r="C34" s="5" t="s">
        <v>30</v>
      </c>
      <c r="D34" s="6">
        <v>46141</v>
      </c>
      <c r="E34" s="6">
        <v>46108</v>
      </c>
      <c r="F34" s="5"/>
      <c r="G34" s="15" t="s">
        <v>106</v>
      </c>
      <c r="H34">
        <f>D34-VLOOKUP(A34,'26035'!A:F,4,0)</f>
        <v>0</v>
      </c>
      <c r="I34">
        <f>E34-VLOOKUP(A34,'26035'!A:F,5,0)</f>
        <v>-33</v>
      </c>
      <c r="J34">
        <f>F34-VLOOKUP(A34,'26035'!A:F,6,0)</f>
        <v>0</v>
      </c>
    </row>
    <row r="35" spans="1:10" ht="15.75" thickBot="1" x14ac:dyDescent="0.3">
      <c r="A35" s="4">
        <v>31</v>
      </c>
      <c r="B35" s="5" t="s">
        <v>56</v>
      </c>
      <c r="C35" s="5" t="s">
        <v>30</v>
      </c>
      <c r="D35" s="6">
        <v>46143</v>
      </c>
      <c r="E35" s="6">
        <v>46143</v>
      </c>
      <c r="F35" s="5"/>
      <c r="H35">
        <f>D35-VLOOKUP(A35,'26035'!A:F,4,0)</f>
        <v>0</v>
      </c>
      <c r="I35">
        <f>E35-VLOOKUP(A35,'26035'!A:F,5,0)</f>
        <v>0</v>
      </c>
      <c r="J35">
        <f>F35-VLOOKUP(A35,'26035'!A:F,6,0)</f>
        <v>0</v>
      </c>
    </row>
    <row r="36" spans="1:10" ht="15.75" thickBot="1" x14ac:dyDescent="0.3">
      <c r="A36" s="4" t="s">
        <v>57</v>
      </c>
      <c r="B36" s="5" t="s">
        <v>58</v>
      </c>
      <c r="C36" s="5" t="s">
        <v>30</v>
      </c>
      <c r="D36" s="6">
        <v>46143</v>
      </c>
      <c r="E36" s="27">
        <v>46108</v>
      </c>
      <c r="F36" s="5"/>
      <c r="G36" s="14" t="s">
        <v>105</v>
      </c>
      <c r="H36">
        <f>D36-VLOOKUP(A36,'26035'!A:F,4,0)</f>
        <v>0</v>
      </c>
      <c r="I36">
        <f>E36-VLOOKUP(A36,'26035'!A:F,5,0)</f>
        <v>-31</v>
      </c>
      <c r="J36">
        <f>F36-VLOOKUP(A36,'26035'!A:F,6,0)</f>
        <v>0</v>
      </c>
    </row>
    <row r="37" spans="1:10" ht="15.75" thickBot="1" x14ac:dyDescent="0.3">
      <c r="A37" s="4" t="s">
        <v>59</v>
      </c>
      <c r="B37" s="5" t="s">
        <v>60</v>
      </c>
      <c r="C37" s="5" t="s">
        <v>30</v>
      </c>
      <c r="D37" s="6">
        <v>46139</v>
      </c>
      <c r="E37" s="27">
        <v>46108</v>
      </c>
      <c r="F37" s="5"/>
      <c r="H37">
        <f>D37-VLOOKUP(A37,'26035'!A:F,4,0)</f>
        <v>0</v>
      </c>
      <c r="I37">
        <f>E37-VLOOKUP(A37,'26035'!A:F,5,0)</f>
        <v>-31</v>
      </c>
      <c r="J37">
        <f>F37-VLOOKUP(A37,'26035'!A:F,6,0)</f>
        <v>0</v>
      </c>
    </row>
    <row r="38" spans="1:10" ht="15.75" thickBot="1" x14ac:dyDescent="0.3">
      <c r="A38" s="4" t="s">
        <v>61</v>
      </c>
      <c r="B38" s="5" t="s">
        <v>62</v>
      </c>
      <c r="C38" s="5" t="s">
        <v>30</v>
      </c>
      <c r="D38" s="6">
        <v>46139</v>
      </c>
      <c r="E38" s="27">
        <v>46108</v>
      </c>
      <c r="F38" s="5"/>
      <c r="H38">
        <f>D38-VLOOKUP(A38,'26035'!A:F,4,0)</f>
        <v>0</v>
      </c>
      <c r="I38">
        <f>E38-VLOOKUP(A38,'26035'!A:F,5,0)</f>
        <v>-31</v>
      </c>
      <c r="J38">
        <f>F38-VLOOKUP(A38,'26035'!A:F,6,0)</f>
        <v>0</v>
      </c>
    </row>
    <row r="39" spans="1:10" ht="15.75" thickBot="1" x14ac:dyDescent="0.3">
      <c r="A39" s="4" t="s">
        <v>63</v>
      </c>
      <c r="B39" s="5" t="s">
        <v>64</v>
      </c>
      <c r="C39" s="5" t="s">
        <v>30</v>
      </c>
      <c r="D39" s="6">
        <v>46139</v>
      </c>
      <c r="E39" s="27">
        <v>46108</v>
      </c>
      <c r="F39" s="5"/>
      <c r="H39">
        <f>D39-VLOOKUP(A39,'26035'!A:F,4,0)</f>
        <v>0</v>
      </c>
      <c r="I39">
        <f>E39-VLOOKUP(A39,'26035'!A:F,5,0)</f>
        <v>-31</v>
      </c>
      <c r="J39">
        <f>F39-VLOOKUP(A39,'26035'!A:F,6,0)</f>
        <v>0</v>
      </c>
    </row>
    <row r="40" spans="1:10" ht="15.75" thickBot="1" x14ac:dyDescent="0.3">
      <c r="A40" s="4" t="s">
        <v>65</v>
      </c>
      <c r="B40" s="5" t="s">
        <v>66</v>
      </c>
      <c r="C40" s="5" t="s">
        <v>30</v>
      </c>
      <c r="D40" s="6">
        <v>46139</v>
      </c>
      <c r="E40" s="27">
        <v>46108</v>
      </c>
      <c r="F40" s="5"/>
      <c r="H40">
        <f>D40-VLOOKUP(A40,'26035'!A:F,4,0)</f>
        <v>0</v>
      </c>
      <c r="I40">
        <f>E40-VLOOKUP(A40,'26035'!A:F,5,0)</f>
        <v>-31</v>
      </c>
      <c r="J40">
        <f>F40-VLOOKUP(A40,'26035'!A:F,6,0)</f>
        <v>0</v>
      </c>
    </row>
    <row r="41" spans="1:10" ht="15.75" thickBot="1" x14ac:dyDescent="0.3">
      <c r="A41" s="4" t="s">
        <v>67</v>
      </c>
      <c r="B41" s="5" t="s">
        <v>68</v>
      </c>
      <c r="C41" s="5" t="s">
        <v>30</v>
      </c>
      <c r="D41" s="6">
        <v>46139</v>
      </c>
      <c r="E41" s="27">
        <v>46108</v>
      </c>
      <c r="F41" s="5"/>
      <c r="H41">
        <f>D41-VLOOKUP(A41,'26035'!A:F,4,0)</f>
        <v>0</v>
      </c>
      <c r="I41">
        <f>E41-VLOOKUP(A41,'26035'!A:F,5,0)</f>
        <v>-31</v>
      </c>
      <c r="J41">
        <f>F41-VLOOKUP(A41,'26035'!A:F,6,0)</f>
        <v>0</v>
      </c>
    </row>
    <row r="42" spans="1:10" ht="15.75" thickBot="1" x14ac:dyDescent="0.3">
      <c r="A42" s="4" t="s">
        <v>69</v>
      </c>
      <c r="B42" s="5" t="s">
        <v>70</v>
      </c>
      <c r="C42" s="5" t="s">
        <v>30</v>
      </c>
      <c r="D42" s="6">
        <v>46139</v>
      </c>
      <c r="E42" s="27">
        <v>46108</v>
      </c>
      <c r="F42" s="5"/>
      <c r="H42">
        <f>D42-VLOOKUP(A42,'26035'!A:F,4,0)</f>
        <v>0</v>
      </c>
      <c r="I42">
        <f>E42-VLOOKUP(A42,'26035'!A:F,5,0)</f>
        <v>-31</v>
      </c>
      <c r="J42">
        <f>F42-VLOOKUP(A42,'26035'!A:F,6,0)</f>
        <v>0</v>
      </c>
    </row>
    <row r="43" spans="1:10" ht="15.75" thickBot="1" x14ac:dyDescent="0.3">
      <c r="A43" s="4">
        <v>33</v>
      </c>
      <c r="B43" s="5" t="s">
        <v>71</v>
      </c>
      <c r="C43" s="5" t="s">
        <v>14</v>
      </c>
      <c r="D43" s="6">
        <v>46149</v>
      </c>
      <c r="E43" s="27">
        <v>46108</v>
      </c>
      <c r="F43" s="5"/>
      <c r="G43" s="14" t="s">
        <v>105</v>
      </c>
      <c r="H43">
        <f>D43-VLOOKUP(A43,'26035'!A:F,4,0)</f>
        <v>0</v>
      </c>
      <c r="I43">
        <f>E43-VLOOKUP(A43,'26035'!A:F,5,0)</f>
        <v>-39</v>
      </c>
      <c r="J43">
        <f>F43-VLOOKUP(A43,'26035'!A:F,6,0)</f>
        <v>0</v>
      </c>
    </row>
    <row r="44" spans="1:10" ht="15.75" thickBot="1" x14ac:dyDescent="0.3">
      <c r="A44" s="7" t="s">
        <v>72</v>
      </c>
      <c r="B44" s="8" t="s">
        <v>73</v>
      </c>
      <c r="C44" s="8" t="s">
        <v>14</v>
      </c>
      <c r="D44" s="9">
        <v>46147</v>
      </c>
      <c r="E44" s="28">
        <v>46108</v>
      </c>
      <c r="F44" s="8"/>
      <c r="H44">
        <f>D44-VLOOKUP(A44,'26035'!A:F,4,0)</f>
        <v>0</v>
      </c>
      <c r="I44">
        <f>E44-VLOOKUP(A44,'26035'!A:F,5,0)</f>
        <v>-39</v>
      </c>
      <c r="J44">
        <f>F44-VLOOKUP(A44,'26035'!A:F,6,0)</f>
        <v>0</v>
      </c>
    </row>
    <row r="45" spans="1:10" ht="15.75" thickBot="1" x14ac:dyDescent="0.3">
      <c r="A45" s="4" t="s">
        <v>74</v>
      </c>
      <c r="B45" s="5" t="s">
        <v>75</v>
      </c>
      <c r="C45" s="5" t="s">
        <v>14</v>
      </c>
      <c r="D45" s="6">
        <v>46147</v>
      </c>
      <c r="E45" s="27">
        <v>46108</v>
      </c>
      <c r="F45" s="5"/>
      <c r="H45">
        <f>D45-VLOOKUP(A45,'26035'!A:F,4,0)</f>
        <v>0</v>
      </c>
      <c r="I45">
        <f>E45-VLOOKUP(A45,'26035'!A:F,5,0)</f>
        <v>-39</v>
      </c>
      <c r="J45">
        <f>F45-VLOOKUP(A45,'26035'!A:F,6,0)</f>
        <v>0</v>
      </c>
    </row>
    <row r="46" spans="1:10" ht="15.75" thickBot="1" x14ac:dyDescent="0.3">
      <c r="A46" s="4" t="s">
        <v>76</v>
      </c>
      <c r="B46" s="5" t="s">
        <v>77</v>
      </c>
      <c r="C46" s="5" t="s">
        <v>14</v>
      </c>
      <c r="D46" s="6">
        <v>46147</v>
      </c>
      <c r="E46" s="27">
        <v>46108</v>
      </c>
      <c r="F46" s="5"/>
      <c r="H46">
        <f>D46-VLOOKUP(A46,'26035'!A:F,4,0)</f>
        <v>0</v>
      </c>
      <c r="I46">
        <f>E46-VLOOKUP(A46,'26035'!A:F,5,0)</f>
        <v>-39</v>
      </c>
      <c r="J46">
        <f>F46-VLOOKUP(A46,'26035'!A:F,6,0)</f>
        <v>0</v>
      </c>
    </row>
    <row r="47" spans="1:10" ht="15.75" thickBot="1" x14ac:dyDescent="0.3">
      <c r="A47" s="4" t="s">
        <v>78</v>
      </c>
      <c r="B47" s="5" t="s">
        <v>79</v>
      </c>
      <c r="C47" s="5" t="s">
        <v>14</v>
      </c>
      <c r="D47" s="6">
        <v>46147</v>
      </c>
      <c r="E47" s="27">
        <v>46108</v>
      </c>
      <c r="F47" s="5"/>
      <c r="H47">
        <f>D47-VLOOKUP(A47,'26035'!A:F,4,0)</f>
        <v>0</v>
      </c>
      <c r="I47">
        <f>E47-VLOOKUP(A47,'26035'!A:F,5,0)</f>
        <v>-39</v>
      </c>
      <c r="J47">
        <f>F47-VLOOKUP(A47,'26035'!A:F,6,0)</f>
        <v>0</v>
      </c>
    </row>
    <row r="48" spans="1:10" ht="15.75" thickBot="1" x14ac:dyDescent="0.3">
      <c r="A48" s="23" t="s">
        <v>80</v>
      </c>
      <c r="B48" s="24" t="s">
        <v>81</v>
      </c>
      <c r="C48" s="24" t="s">
        <v>14</v>
      </c>
      <c r="D48" s="25">
        <v>46147</v>
      </c>
      <c r="E48" s="29">
        <v>46108</v>
      </c>
      <c r="F48" s="24"/>
      <c r="G48" s="26"/>
      <c r="H48" s="22">
        <f>D48-VLOOKUP(A48,'26035'!A:F,4,0)</f>
        <v>0</v>
      </c>
      <c r="I48" s="22">
        <f>E48-VLOOKUP(A48,'26035'!A:F,5,0)</f>
        <v>-39</v>
      </c>
      <c r="J48" s="22">
        <f>F48-VLOOKUP(A48,'26035'!A:F,6,0)</f>
        <v>0</v>
      </c>
    </row>
    <row r="49" spans="1:10" ht="15.75" thickBot="1" x14ac:dyDescent="0.3">
      <c r="A49" s="4" t="s">
        <v>82</v>
      </c>
      <c r="B49" s="5" t="s">
        <v>83</v>
      </c>
      <c r="C49" s="5" t="s">
        <v>14</v>
      </c>
      <c r="D49" s="6">
        <v>46147</v>
      </c>
      <c r="E49" s="27">
        <v>46108</v>
      </c>
      <c r="F49" s="5"/>
      <c r="H49">
        <f>D49-VLOOKUP(A49,'26035'!A:F,4,0)</f>
        <v>0</v>
      </c>
      <c r="I49">
        <f>E49-VLOOKUP(A49,'26035'!A:F,5,0)</f>
        <v>-39</v>
      </c>
      <c r="J49">
        <f>F49-VLOOKUP(A49,'26035'!A:F,6,0)</f>
        <v>0</v>
      </c>
    </row>
    <row r="50" spans="1:10" ht="15.75" thickBot="1" x14ac:dyDescent="0.3">
      <c r="A50" s="4" t="s">
        <v>84</v>
      </c>
      <c r="B50" s="5" t="s">
        <v>85</v>
      </c>
      <c r="C50" s="5" t="s">
        <v>14</v>
      </c>
      <c r="D50" s="6">
        <v>46147</v>
      </c>
      <c r="E50" s="27">
        <v>46108</v>
      </c>
      <c r="F50" s="5"/>
      <c r="H50">
        <f>D50-VLOOKUP(A50,'26035'!A:F,4,0)</f>
        <v>0</v>
      </c>
      <c r="I50">
        <f>E50-VLOOKUP(A50,'26035'!A:F,5,0)</f>
        <v>-39</v>
      </c>
      <c r="J50">
        <f>F50-VLOOKUP(A50,'26035'!A:F,6,0)</f>
        <v>0</v>
      </c>
    </row>
    <row r="51" spans="1:10" ht="15.75" thickBot="1" x14ac:dyDescent="0.3">
      <c r="A51" s="4">
        <v>34</v>
      </c>
      <c r="B51" s="5" t="s">
        <v>86</v>
      </c>
      <c r="C51" s="5" t="s">
        <v>1</v>
      </c>
      <c r="D51" s="6">
        <v>46156</v>
      </c>
      <c r="E51" s="6">
        <v>46156</v>
      </c>
      <c r="F51" s="5"/>
      <c r="H51">
        <f>D51-VLOOKUP(A51,'26035'!A:F,4,0)</f>
        <v>0</v>
      </c>
      <c r="I51">
        <f>E51-VLOOKUP(A51,'26035'!A:F,5,0)</f>
        <v>0</v>
      </c>
      <c r="J51">
        <f>F51-VLOOKUP(A51,'26035'!A:F,6,0)</f>
        <v>0</v>
      </c>
    </row>
    <row r="52" spans="1:10" ht="15.75" thickBot="1" x14ac:dyDescent="0.3">
      <c r="A52" s="4">
        <v>35</v>
      </c>
      <c r="B52" s="5" t="s">
        <v>87</v>
      </c>
      <c r="C52" s="5" t="s">
        <v>88</v>
      </c>
      <c r="D52" s="6">
        <v>46156</v>
      </c>
      <c r="E52" s="6">
        <v>46172</v>
      </c>
      <c r="F52" s="6">
        <v>46128</v>
      </c>
      <c r="H52">
        <f>D52-VLOOKUP(A52,'26035'!A:F,4,0)</f>
        <v>0</v>
      </c>
      <c r="I52">
        <f>E52-VLOOKUP(A52,'26035'!A:F,5,0)</f>
        <v>0</v>
      </c>
      <c r="J52">
        <f>F52-VLOOKUP(A52,'26035'!A:F,6,0)</f>
        <v>0</v>
      </c>
    </row>
    <row r="53" spans="1:10" ht="15.75" thickBot="1" x14ac:dyDescent="0.3">
      <c r="A53" s="4">
        <v>36</v>
      </c>
      <c r="B53" s="5" t="s">
        <v>89</v>
      </c>
      <c r="C53" s="5" t="s">
        <v>30</v>
      </c>
      <c r="D53" s="6">
        <v>46154</v>
      </c>
      <c r="E53" s="6">
        <v>46154</v>
      </c>
      <c r="F53" s="5"/>
      <c r="H53">
        <f>D53-VLOOKUP(A53,'26035'!A:F,4,0)</f>
        <v>0</v>
      </c>
      <c r="I53">
        <f>E53-VLOOKUP(A53,'26035'!A:F,5,0)</f>
        <v>0</v>
      </c>
      <c r="J53">
        <f>F53-VLOOKUP(A53,'26035'!A:F,6,0)</f>
        <v>0</v>
      </c>
    </row>
    <row r="54" spans="1:10" ht="15.75" thickBot="1" x14ac:dyDescent="0.3">
      <c r="A54" s="4">
        <v>37</v>
      </c>
      <c r="B54" s="5" t="s">
        <v>90</v>
      </c>
      <c r="C54" s="5" t="s">
        <v>30</v>
      </c>
      <c r="D54" s="6">
        <v>46156</v>
      </c>
      <c r="E54" s="29">
        <v>46108</v>
      </c>
      <c r="F54" s="5"/>
      <c r="G54" s="14" t="s">
        <v>105</v>
      </c>
      <c r="H54">
        <f>D54-VLOOKUP(A54,'26035'!A:F,4,0)</f>
        <v>0</v>
      </c>
      <c r="I54" s="22">
        <f>E54-VLOOKUP(A54,'26035'!A:F,5,0)</f>
        <v>-48</v>
      </c>
      <c r="J54">
        <f>F54-VLOOKUP(A54,'26035'!A:F,6,0)</f>
        <v>0</v>
      </c>
    </row>
    <row r="55" spans="1:10" ht="15.75" thickBot="1" x14ac:dyDescent="0.3">
      <c r="A55" s="4" t="s">
        <v>91</v>
      </c>
      <c r="B55" s="5" t="s">
        <v>92</v>
      </c>
      <c r="C55" s="5" t="s">
        <v>3</v>
      </c>
      <c r="D55" s="6">
        <v>46165</v>
      </c>
      <c r="E55" s="29">
        <v>46108</v>
      </c>
      <c r="F55" s="5"/>
      <c r="G55" s="14" t="s">
        <v>105</v>
      </c>
      <c r="H55">
        <f>D55-VLOOKUP(A55,'26035'!A:F,4,0)</f>
        <v>0</v>
      </c>
      <c r="I55" s="22">
        <f>E55-VLOOKUP(A55,'26035'!A:F,5,0)</f>
        <v>-57</v>
      </c>
      <c r="J55">
        <f>F55-VLOOKUP(A55,'26035'!A:F,6,0)</f>
        <v>0</v>
      </c>
    </row>
    <row r="56" spans="1:10" ht="15.75" thickBot="1" x14ac:dyDescent="0.3">
      <c r="A56" s="4">
        <v>39</v>
      </c>
      <c r="B56" s="5" t="s">
        <v>93</v>
      </c>
      <c r="C56" s="5" t="s">
        <v>3</v>
      </c>
      <c r="D56" s="6">
        <v>46167</v>
      </c>
      <c r="E56" s="27">
        <v>46108</v>
      </c>
      <c r="F56" s="5"/>
      <c r="G56" s="16" t="s">
        <v>104</v>
      </c>
      <c r="H56">
        <f>D56-VLOOKUP(A56,'26035'!A:F,4,0)</f>
        <v>0</v>
      </c>
      <c r="I56">
        <f>E56-VLOOKUP(A56,'26035'!A:F,5,0)</f>
        <v>-59</v>
      </c>
      <c r="J56">
        <f>F56-VLOOKUP(A56,'26035'!A:F,6,0)</f>
        <v>0</v>
      </c>
    </row>
    <row r="57" spans="1:10" ht="15.75" thickBot="1" x14ac:dyDescent="0.3">
      <c r="A57" s="4" t="s">
        <v>94</v>
      </c>
      <c r="B57" s="5" t="s">
        <v>95</v>
      </c>
      <c r="C57" s="5" t="s">
        <v>3</v>
      </c>
      <c r="D57" s="6">
        <v>46171</v>
      </c>
      <c r="E57" s="6">
        <v>46171</v>
      </c>
      <c r="F57" s="5"/>
      <c r="H57">
        <f>D57-VLOOKUP(A57,'26035'!A:F,4,0)</f>
        <v>0</v>
      </c>
      <c r="I57">
        <f>E57-VLOOKUP(A57,'26035'!A:F,5,0)</f>
        <v>0</v>
      </c>
      <c r="J57">
        <f>F57-VLOOKUP(A57,'26035'!A:F,6,0)</f>
        <v>0</v>
      </c>
    </row>
    <row r="58" spans="1:10" ht="15.75" thickBot="1" x14ac:dyDescent="0.3">
      <c r="A58" s="10" t="s">
        <v>96</v>
      </c>
      <c r="B58" s="11" t="s">
        <v>97</v>
      </c>
      <c r="C58" s="11" t="s">
        <v>5</v>
      </c>
      <c r="D58" s="12">
        <v>46096</v>
      </c>
      <c r="E58" s="12">
        <v>46096</v>
      </c>
      <c r="F58" s="11"/>
      <c r="H58">
        <f>D58-VLOOKUP(A58,'26035'!A:F,4,0)</f>
        <v>0</v>
      </c>
      <c r="I58">
        <f>E58-VLOOKUP(A58,'26035'!A:F,5,0)</f>
        <v>0</v>
      </c>
      <c r="J58">
        <f>F58-VLOOKUP(A58,'26035'!A:F,6,0)</f>
        <v>0</v>
      </c>
    </row>
  </sheetData>
  <autoFilter ref="A1:J58" xr:uid="{E38C69C7-7461-47E4-A3FB-1E619F276F0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D9E7-D647-4506-B36E-32D4E1FC894D}">
  <sheetPr codeName="Sheet7">
    <tabColor rgb="FFFFC000"/>
  </sheetPr>
  <dimension ref="A1:J58"/>
  <sheetViews>
    <sheetView workbookViewId="0">
      <selection activeCell="C27" sqref="C27"/>
    </sheetView>
  </sheetViews>
  <sheetFormatPr defaultRowHeight="15" x14ac:dyDescent="0.25"/>
  <cols>
    <col min="1" max="1" width="26.7109375" bestFit="1" customWidth="1"/>
    <col min="2" max="2" width="60.5703125" bestFit="1" customWidth="1"/>
    <col min="3" max="3" width="41.140625" bestFit="1" customWidth="1"/>
    <col min="4" max="4" width="16.28515625" bestFit="1" customWidth="1"/>
    <col min="5" max="5" width="21.140625" bestFit="1" customWidth="1"/>
    <col min="6" max="6" width="17.42578125" bestFit="1" customWidth="1"/>
    <col min="7" max="7" width="9.42578125" style="13" bestFit="1" customWidth="1"/>
    <col min="8" max="8" width="10.5703125" bestFit="1" customWidth="1"/>
    <col min="9" max="10" width="11.85546875" bestFit="1" customWidth="1"/>
  </cols>
  <sheetData>
    <row r="1" spans="1:10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s="13" t="s">
        <v>109</v>
      </c>
      <c r="H1" t="s">
        <v>110</v>
      </c>
      <c r="I1" t="s">
        <v>111</v>
      </c>
      <c r="J1" t="s">
        <v>112</v>
      </c>
    </row>
    <row r="2" spans="1:10" ht="15.75" thickBot="1" x14ac:dyDescent="0.3">
      <c r="A2" s="19">
        <v>1</v>
      </c>
      <c r="B2" s="20" t="s">
        <v>0</v>
      </c>
      <c r="C2" s="20" t="s">
        <v>1</v>
      </c>
      <c r="D2" s="21">
        <v>46089</v>
      </c>
      <c r="E2" s="21">
        <v>46089</v>
      </c>
      <c r="F2" s="20"/>
      <c r="H2">
        <f>D2-VLOOKUP(A2,'26035'!A:F,4,0)</f>
        <v>0</v>
      </c>
      <c r="I2">
        <f>E2-VLOOKUP(A2,'26035'!A:F,5,0)</f>
        <v>0</v>
      </c>
      <c r="J2">
        <f>F2-VLOOKUP(A2,'26035'!A:F,6,0)</f>
        <v>0</v>
      </c>
    </row>
    <row r="3" spans="1:10" ht="15.75" thickBot="1" x14ac:dyDescent="0.3">
      <c r="A3" s="4">
        <v>3</v>
      </c>
      <c r="B3" s="5" t="s">
        <v>2</v>
      </c>
      <c r="C3" s="5" t="s">
        <v>3</v>
      </c>
      <c r="D3" s="6">
        <v>46094</v>
      </c>
      <c r="E3" s="6">
        <v>46094</v>
      </c>
      <c r="F3" s="5"/>
      <c r="H3">
        <f>D3-VLOOKUP(A3,'26035'!A:F,4,0)</f>
        <v>0</v>
      </c>
      <c r="I3">
        <f>E3-VLOOKUP(A3,'26035'!A:F,5,0)</f>
        <v>0</v>
      </c>
      <c r="J3">
        <f>F3-VLOOKUP(A3,'26035'!A:F,6,0)</f>
        <v>0</v>
      </c>
    </row>
    <row r="4" spans="1:10" ht="15.75" thickBot="1" x14ac:dyDescent="0.3">
      <c r="A4" s="4">
        <v>4</v>
      </c>
      <c r="B4" s="5" t="s">
        <v>4</v>
      </c>
      <c r="C4" s="5" t="s">
        <v>5</v>
      </c>
      <c r="D4" s="6">
        <v>46096</v>
      </c>
      <c r="E4" s="6">
        <v>46096</v>
      </c>
      <c r="F4" s="6">
        <v>46096</v>
      </c>
      <c r="G4" s="18" t="s">
        <v>108</v>
      </c>
      <c r="H4">
        <f>D4-VLOOKUP(A4,'26035'!A:F,4,0)</f>
        <v>0</v>
      </c>
      <c r="I4">
        <f>E4-VLOOKUP(A4,'26035'!A:F,5,0)</f>
        <v>0</v>
      </c>
      <c r="J4">
        <f>F4-VLOOKUP(A4,'26035'!A:F,6,0)</f>
        <v>0</v>
      </c>
    </row>
    <row r="5" spans="1:10" ht="15.75" thickBot="1" x14ac:dyDescent="0.3">
      <c r="A5" s="30">
        <v>5</v>
      </c>
      <c r="B5" s="31" t="s">
        <v>6</v>
      </c>
      <c r="C5" s="31" t="s">
        <v>3</v>
      </c>
      <c r="D5" s="32">
        <v>46103</v>
      </c>
      <c r="E5" s="32">
        <v>46103</v>
      </c>
      <c r="F5" s="31"/>
      <c r="H5">
        <f>D5-VLOOKUP(A5,'26035'!A:F,4,0)</f>
        <v>0</v>
      </c>
      <c r="I5">
        <f>E5-VLOOKUP(A5,'26035'!A:F,5,0)</f>
        <v>0</v>
      </c>
      <c r="J5">
        <f>F5-VLOOKUP(A5,'26035'!A:F,6,0)</f>
        <v>0</v>
      </c>
    </row>
    <row r="6" spans="1:10" ht="15.75" thickBot="1" x14ac:dyDescent="0.3">
      <c r="A6" s="4" t="s">
        <v>7</v>
      </c>
      <c r="B6" s="5" t="s">
        <v>8</v>
      </c>
      <c r="C6" s="5" t="s">
        <v>3</v>
      </c>
      <c r="D6" s="6">
        <v>46107</v>
      </c>
      <c r="E6" s="6">
        <v>46107</v>
      </c>
      <c r="F6" s="5"/>
      <c r="H6">
        <f>D6-VLOOKUP(A6,'26035'!A:F,4,0)</f>
        <v>0</v>
      </c>
      <c r="I6">
        <f>E6-VLOOKUP(A6,'26035'!A:F,5,0)</f>
        <v>0</v>
      </c>
      <c r="J6">
        <f>F6-VLOOKUP(A6,'26035'!A:F,6,0)</f>
        <v>0</v>
      </c>
    </row>
    <row r="7" spans="1:10" ht="15.75" thickBot="1" x14ac:dyDescent="0.3">
      <c r="A7" s="4">
        <v>7</v>
      </c>
      <c r="B7" s="5" t="s">
        <v>9</v>
      </c>
      <c r="C7" s="5" t="s">
        <v>10</v>
      </c>
      <c r="D7" s="6">
        <v>46114</v>
      </c>
      <c r="E7" s="6">
        <v>46114</v>
      </c>
      <c r="F7" s="5"/>
      <c r="H7">
        <f>D7-VLOOKUP(A7,'26035'!A:F,4,0)</f>
        <v>0</v>
      </c>
      <c r="I7">
        <f>E7-VLOOKUP(A7,'26035'!A:F,5,0)</f>
        <v>0</v>
      </c>
      <c r="J7">
        <f>F7-VLOOKUP(A7,'26035'!A:F,6,0)</f>
        <v>0</v>
      </c>
    </row>
    <row r="8" spans="1:10" ht="15.75" thickBot="1" x14ac:dyDescent="0.3">
      <c r="A8" s="4" t="s">
        <v>11</v>
      </c>
      <c r="B8" s="5" t="s">
        <v>12</v>
      </c>
      <c r="C8" s="5" t="s">
        <v>3</v>
      </c>
      <c r="D8" s="6">
        <v>46109</v>
      </c>
      <c r="E8" s="6">
        <v>46109</v>
      </c>
      <c r="F8" s="5"/>
      <c r="H8">
        <f>D8-VLOOKUP(A8,'26035'!A:F,4,0)</f>
        <v>0</v>
      </c>
      <c r="I8">
        <f>E8-VLOOKUP(A8,'26035'!A:F,5,0)</f>
        <v>0</v>
      </c>
      <c r="J8">
        <f>F8-VLOOKUP(A8,'26035'!A:F,6,0)</f>
        <v>0</v>
      </c>
    </row>
    <row r="9" spans="1:10" ht="15.75" thickBot="1" x14ac:dyDescent="0.3">
      <c r="A9" s="4">
        <v>9</v>
      </c>
      <c r="B9" s="5" t="s">
        <v>13</v>
      </c>
      <c r="C9" s="5" t="s">
        <v>14</v>
      </c>
      <c r="D9" s="6">
        <v>46109</v>
      </c>
      <c r="E9" s="6">
        <v>46109</v>
      </c>
      <c r="F9" s="5"/>
      <c r="H9">
        <f>D9-VLOOKUP(A9,'26035'!A:F,4,0)</f>
        <v>0</v>
      </c>
      <c r="I9">
        <f>E9-VLOOKUP(A9,'26035'!A:F,5,0)</f>
        <v>0</v>
      </c>
      <c r="J9">
        <f>F9-VLOOKUP(A9,'26035'!A:F,6,0)</f>
        <v>0</v>
      </c>
    </row>
    <row r="10" spans="1:10" ht="15.75" thickBot="1" x14ac:dyDescent="0.3">
      <c r="A10" s="4" t="s">
        <v>15</v>
      </c>
      <c r="B10" s="5" t="s">
        <v>16</v>
      </c>
      <c r="C10" s="5" t="s">
        <v>14</v>
      </c>
      <c r="D10" s="6">
        <v>46109</v>
      </c>
      <c r="E10" s="6">
        <v>46109</v>
      </c>
      <c r="F10" s="5"/>
      <c r="H10">
        <f>D10-VLOOKUP(A10,'26035'!A:F,4,0)</f>
        <v>0</v>
      </c>
      <c r="I10">
        <f>E10-VLOOKUP(A10,'26035'!A:F,5,0)</f>
        <v>0</v>
      </c>
      <c r="J10">
        <f>F10-VLOOKUP(A10,'26035'!A:F,6,0)</f>
        <v>0</v>
      </c>
    </row>
    <row r="11" spans="1:10" ht="15.75" thickBot="1" x14ac:dyDescent="0.3">
      <c r="A11" s="4" t="s">
        <v>17</v>
      </c>
      <c r="B11" s="5" t="s">
        <v>18</v>
      </c>
      <c r="C11" s="5" t="s">
        <v>14</v>
      </c>
      <c r="D11" s="6">
        <v>46109</v>
      </c>
      <c r="E11" s="6">
        <v>46109</v>
      </c>
      <c r="F11" s="5"/>
      <c r="H11">
        <f>D11-VLOOKUP(A11,'26035'!A:F,4,0)</f>
        <v>0</v>
      </c>
      <c r="I11">
        <f>E11-VLOOKUP(A11,'26035'!A:F,5,0)</f>
        <v>0</v>
      </c>
      <c r="J11">
        <f>F11-VLOOKUP(A11,'26035'!A:F,6,0)</f>
        <v>0</v>
      </c>
    </row>
    <row r="12" spans="1:10" ht="15.75" thickBot="1" x14ac:dyDescent="0.3">
      <c r="A12" s="4" t="s">
        <v>19</v>
      </c>
      <c r="B12" s="5" t="s">
        <v>20</v>
      </c>
      <c r="C12" s="5" t="s">
        <v>14</v>
      </c>
      <c r="D12" s="6">
        <v>46109</v>
      </c>
      <c r="E12" s="6">
        <v>46109</v>
      </c>
      <c r="F12" s="5"/>
      <c r="H12">
        <f>D12-VLOOKUP(A12,'26035'!A:F,4,0)</f>
        <v>0</v>
      </c>
      <c r="I12">
        <f>E12-VLOOKUP(A12,'26035'!A:F,5,0)</f>
        <v>0</v>
      </c>
      <c r="J12">
        <f>F12-VLOOKUP(A12,'26035'!A:F,6,0)</f>
        <v>0</v>
      </c>
    </row>
    <row r="13" spans="1:10" ht="15.75" thickBot="1" x14ac:dyDescent="0.3">
      <c r="A13" s="4" t="s">
        <v>21</v>
      </c>
      <c r="B13" s="5" t="s">
        <v>22</v>
      </c>
      <c r="C13" s="5" t="s">
        <v>14</v>
      </c>
      <c r="D13" s="6">
        <v>46109</v>
      </c>
      <c r="E13" s="6">
        <v>46109</v>
      </c>
      <c r="F13" s="5"/>
      <c r="H13">
        <f>D13-VLOOKUP(A13,'26035'!A:F,4,0)</f>
        <v>0</v>
      </c>
      <c r="I13">
        <f>E13-VLOOKUP(A13,'26035'!A:F,5,0)</f>
        <v>0</v>
      </c>
      <c r="J13">
        <f>F13-VLOOKUP(A13,'26035'!A:F,6,0)</f>
        <v>0</v>
      </c>
    </row>
    <row r="14" spans="1:10" ht="15.75" thickBot="1" x14ac:dyDescent="0.3">
      <c r="A14" s="4" t="s">
        <v>23</v>
      </c>
      <c r="B14" s="5" t="s">
        <v>24</v>
      </c>
      <c r="C14" s="5" t="s">
        <v>14</v>
      </c>
      <c r="D14" s="6">
        <v>46109</v>
      </c>
      <c r="E14" s="6">
        <v>46109</v>
      </c>
      <c r="F14" s="5"/>
      <c r="H14">
        <f>D14-VLOOKUP(A14,'26035'!A:F,4,0)</f>
        <v>0</v>
      </c>
      <c r="I14">
        <f>E14-VLOOKUP(A14,'26035'!A:F,5,0)</f>
        <v>0</v>
      </c>
      <c r="J14">
        <f>F14-VLOOKUP(A14,'26035'!A:F,6,0)</f>
        <v>0</v>
      </c>
    </row>
    <row r="15" spans="1:10" ht="15.75" thickBot="1" x14ac:dyDescent="0.3">
      <c r="A15" s="4" t="s">
        <v>25</v>
      </c>
      <c r="B15" s="5" t="s">
        <v>26</v>
      </c>
      <c r="C15" s="5" t="s">
        <v>14</v>
      </c>
      <c r="D15" s="6">
        <v>46109</v>
      </c>
      <c r="E15" s="6">
        <v>46109</v>
      </c>
      <c r="F15" s="5"/>
      <c r="H15">
        <f>D15-VLOOKUP(A15,'26035'!A:F,4,0)</f>
        <v>0</v>
      </c>
      <c r="I15">
        <f>E15-VLOOKUP(A15,'26035'!A:F,5,0)</f>
        <v>0</v>
      </c>
      <c r="J15">
        <f>F15-VLOOKUP(A15,'26035'!A:F,6,0)</f>
        <v>0</v>
      </c>
    </row>
    <row r="16" spans="1:10" ht="15.75" thickBot="1" x14ac:dyDescent="0.3">
      <c r="A16" s="4" t="s">
        <v>27</v>
      </c>
      <c r="B16" s="5" t="s">
        <v>28</v>
      </c>
      <c r="C16" s="5" t="s">
        <v>14</v>
      </c>
      <c r="D16" s="6">
        <v>46108</v>
      </c>
      <c r="E16" s="6">
        <v>46108</v>
      </c>
      <c r="F16" s="5"/>
      <c r="H16">
        <f>D16-VLOOKUP(A16,'26035'!A:F,4,0)</f>
        <v>0</v>
      </c>
      <c r="I16">
        <f>E16-VLOOKUP(A16,'26035'!A:F,5,0)</f>
        <v>0</v>
      </c>
      <c r="J16">
        <f>F16-VLOOKUP(A16,'26035'!A:F,6,0)</f>
        <v>0</v>
      </c>
    </row>
    <row r="17" spans="1:10" ht="15.75" thickBot="1" x14ac:dyDescent="0.3">
      <c r="A17" s="4">
        <v>13</v>
      </c>
      <c r="B17" s="5" t="s">
        <v>29</v>
      </c>
      <c r="C17" s="5" t="s">
        <v>30</v>
      </c>
      <c r="D17" s="6">
        <v>46109</v>
      </c>
      <c r="E17" s="6">
        <v>46109</v>
      </c>
      <c r="F17" s="5"/>
      <c r="H17">
        <f>D17-VLOOKUP(A17,'26035'!A:F,4,0)</f>
        <v>0</v>
      </c>
      <c r="I17">
        <f>E17-VLOOKUP(A17,'26035'!A:F,5,0)</f>
        <v>0</v>
      </c>
      <c r="J17">
        <f>F17-VLOOKUP(A17,'26035'!A:F,6,0)</f>
        <v>0</v>
      </c>
    </row>
    <row r="18" spans="1:10" ht="15.75" thickBot="1" x14ac:dyDescent="0.3">
      <c r="A18" s="4">
        <v>14</v>
      </c>
      <c r="B18" s="5" t="s">
        <v>31</v>
      </c>
      <c r="C18" s="5" t="s">
        <v>10</v>
      </c>
      <c r="D18" s="6">
        <v>46115</v>
      </c>
      <c r="E18" s="6">
        <v>46115</v>
      </c>
      <c r="F18" s="5"/>
      <c r="H18">
        <f>D18-VLOOKUP(A18,'26035'!A:F,4,0)</f>
        <v>0</v>
      </c>
      <c r="I18">
        <f>E18-VLOOKUP(A18,'26035'!A:F,5,0)</f>
        <v>0</v>
      </c>
      <c r="J18">
        <f>F18-VLOOKUP(A18,'26035'!A:F,6,0)</f>
        <v>0</v>
      </c>
    </row>
    <row r="19" spans="1:10" ht="15.75" thickBot="1" x14ac:dyDescent="0.3">
      <c r="A19" s="4" t="s">
        <v>32</v>
      </c>
      <c r="B19" s="5" t="s">
        <v>33</v>
      </c>
      <c r="C19" s="5" t="s">
        <v>34</v>
      </c>
      <c r="D19" s="6">
        <v>46108</v>
      </c>
      <c r="E19" s="6">
        <v>46108</v>
      </c>
      <c r="F19" s="5"/>
      <c r="G19" s="17" t="s">
        <v>107</v>
      </c>
      <c r="H19">
        <f>D19-VLOOKUP(A19,'26035'!A:F,4,0)</f>
        <v>0</v>
      </c>
      <c r="I19">
        <f>E19-VLOOKUP(A19,'26035'!A:F,5,0)</f>
        <v>0</v>
      </c>
      <c r="J19">
        <f>F19-VLOOKUP(A19,'26035'!A:F,6,0)</f>
        <v>0</v>
      </c>
    </row>
    <row r="20" spans="1:10" ht="15.75" thickBot="1" x14ac:dyDescent="0.3">
      <c r="A20" s="4" t="s">
        <v>35</v>
      </c>
      <c r="B20" s="5" t="s">
        <v>36</v>
      </c>
      <c r="C20" s="5" t="s">
        <v>34</v>
      </c>
      <c r="D20" s="6">
        <v>46108</v>
      </c>
      <c r="E20" s="6">
        <v>46108</v>
      </c>
      <c r="F20" s="5"/>
      <c r="H20">
        <f>D20-VLOOKUP(A20,'26035'!A:F,4,0)</f>
        <v>0</v>
      </c>
      <c r="I20">
        <f>E20-VLOOKUP(A20,'26035'!A:F,5,0)</f>
        <v>0</v>
      </c>
      <c r="J20">
        <f>F20-VLOOKUP(A20,'26035'!A:F,6,0)</f>
        <v>0</v>
      </c>
    </row>
    <row r="21" spans="1:10" ht="15.75" thickBot="1" x14ac:dyDescent="0.3">
      <c r="A21" s="4" t="s">
        <v>37</v>
      </c>
      <c r="B21" s="5" t="s">
        <v>38</v>
      </c>
      <c r="C21" s="5" t="s">
        <v>34</v>
      </c>
      <c r="D21" s="6">
        <v>46108</v>
      </c>
      <c r="E21" s="6">
        <v>46108</v>
      </c>
      <c r="F21" s="5"/>
      <c r="H21">
        <f>D21-VLOOKUP(A21,'26035'!A:F,4,0)</f>
        <v>0</v>
      </c>
      <c r="I21">
        <f>E21-VLOOKUP(A21,'26035'!A:F,5,0)</f>
        <v>0</v>
      </c>
      <c r="J21">
        <f>F21-VLOOKUP(A21,'26035'!A:F,6,0)</f>
        <v>0</v>
      </c>
    </row>
    <row r="22" spans="1:10" ht="15.75" thickBot="1" x14ac:dyDescent="0.3">
      <c r="A22" s="4" t="s">
        <v>39</v>
      </c>
      <c r="B22" s="5" t="s">
        <v>40</v>
      </c>
      <c r="C22" s="5" t="s">
        <v>34</v>
      </c>
      <c r="D22" s="6">
        <v>46108</v>
      </c>
      <c r="E22" s="6">
        <v>46108</v>
      </c>
      <c r="F22" s="5"/>
      <c r="H22">
        <f>D22-VLOOKUP(A22,'26035'!A:F,4,0)</f>
        <v>0</v>
      </c>
      <c r="I22">
        <f>E22-VLOOKUP(A22,'26035'!A:F,5,0)</f>
        <v>0</v>
      </c>
      <c r="J22">
        <f>F22-VLOOKUP(A22,'26035'!A:F,6,0)</f>
        <v>0</v>
      </c>
    </row>
    <row r="23" spans="1:10" ht="15.75" thickBot="1" x14ac:dyDescent="0.3">
      <c r="A23" s="4" t="s">
        <v>41</v>
      </c>
      <c r="B23" s="5" t="s">
        <v>42</v>
      </c>
      <c r="C23" s="5" t="s">
        <v>34</v>
      </c>
      <c r="D23" s="6">
        <v>46108</v>
      </c>
      <c r="E23" s="6">
        <v>46108</v>
      </c>
      <c r="F23" s="5"/>
      <c r="H23">
        <f>D23-VLOOKUP(A23,'26035'!A:F,4,0)</f>
        <v>0</v>
      </c>
      <c r="I23">
        <f>E23-VLOOKUP(A23,'26035'!A:F,5,0)</f>
        <v>0</v>
      </c>
      <c r="J23">
        <f>F23-VLOOKUP(A23,'26035'!A:F,6,0)</f>
        <v>0</v>
      </c>
    </row>
    <row r="24" spans="1:10" ht="15.75" thickBot="1" x14ac:dyDescent="0.3">
      <c r="A24" s="4" t="s">
        <v>43</v>
      </c>
      <c r="B24" s="5" t="s">
        <v>44</v>
      </c>
      <c r="C24" s="5" t="s">
        <v>34</v>
      </c>
      <c r="D24" s="6">
        <v>46108</v>
      </c>
      <c r="E24" s="6">
        <v>46108</v>
      </c>
      <c r="F24" s="5"/>
      <c r="H24">
        <f>D24-VLOOKUP(A24,'26035'!A:F,4,0)</f>
        <v>0</v>
      </c>
      <c r="I24">
        <f>E24-VLOOKUP(A24,'26035'!A:F,5,0)</f>
        <v>0</v>
      </c>
      <c r="J24">
        <f>F24-VLOOKUP(A24,'26035'!A:F,6,0)</f>
        <v>0</v>
      </c>
    </row>
    <row r="25" spans="1:10" ht="15.75" thickBot="1" x14ac:dyDescent="0.3">
      <c r="A25" s="4" t="s">
        <v>45</v>
      </c>
      <c r="B25" s="5" t="s">
        <v>46</v>
      </c>
      <c r="C25" s="5" t="s">
        <v>34</v>
      </c>
      <c r="D25" s="6">
        <v>46108</v>
      </c>
      <c r="E25" s="6">
        <v>46108</v>
      </c>
      <c r="F25" s="5"/>
      <c r="H25">
        <f>D25-VLOOKUP(A25,'26035'!A:F,4,0)</f>
        <v>0</v>
      </c>
      <c r="I25">
        <f>E25-VLOOKUP(A25,'26035'!A:F,5,0)</f>
        <v>0</v>
      </c>
      <c r="J25">
        <f>F25-VLOOKUP(A25,'26035'!A:F,6,0)</f>
        <v>0</v>
      </c>
    </row>
    <row r="26" spans="1:10" ht="15.75" thickBot="1" x14ac:dyDescent="0.3">
      <c r="A26" s="4">
        <v>17</v>
      </c>
      <c r="B26" s="5" t="s">
        <v>47</v>
      </c>
      <c r="C26" s="5" t="s">
        <v>1</v>
      </c>
      <c r="D26" s="6">
        <v>46104</v>
      </c>
      <c r="E26" s="6">
        <v>46104</v>
      </c>
      <c r="F26" s="5"/>
      <c r="H26">
        <f>D26-VLOOKUP(A26,'26035'!A:F,4,0)</f>
        <v>0</v>
      </c>
      <c r="I26">
        <f>E26-VLOOKUP(A26,'26035'!A:F,5,0)</f>
        <v>0</v>
      </c>
      <c r="J26">
        <f>F26-VLOOKUP(A26,'26035'!A:F,6,0)</f>
        <v>0</v>
      </c>
    </row>
    <row r="27" spans="1:10" ht="15.75" thickBot="1" x14ac:dyDescent="0.3">
      <c r="A27" s="4">
        <v>18</v>
      </c>
      <c r="B27" s="5" t="s">
        <v>48</v>
      </c>
      <c r="C27" s="5" t="s">
        <v>34</v>
      </c>
      <c r="D27" s="6">
        <v>46113</v>
      </c>
      <c r="E27" s="6">
        <v>46113</v>
      </c>
      <c r="F27" s="5"/>
      <c r="H27">
        <f>D27-VLOOKUP(A27,'26035'!A:F,4,0)</f>
        <v>0</v>
      </c>
      <c r="I27">
        <f>E27-VLOOKUP(A27,'26035'!A:F,5,0)</f>
        <v>0</v>
      </c>
      <c r="J27">
        <f>F27-VLOOKUP(A27,'26035'!A:F,6,0)</f>
        <v>0</v>
      </c>
    </row>
    <row r="28" spans="1:10" ht="15.75" thickBot="1" x14ac:dyDescent="0.3">
      <c r="A28" s="4">
        <v>19</v>
      </c>
      <c r="B28" s="5" t="s">
        <v>49</v>
      </c>
      <c r="C28" s="5" t="s">
        <v>30</v>
      </c>
      <c r="D28" s="6">
        <v>46114</v>
      </c>
      <c r="E28" s="6">
        <v>46114</v>
      </c>
      <c r="F28" s="5"/>
      <c r="H28">
        <f>D28-VLOOKUP(A28,'26035'!A:F,4,0)</f>
        <v>0</v>
      </c>
      <c r="I28">
        <f>E28-VLOOKUP(A28,'26035'!A:F,5,0)</f>
        <v>0</v>
      </c>
      <c r="J28">
        <f>F28-VLOOKUP(A28,'26035'!A:F,6,0)</f>
        <v>0</v>
      </c>
    </row>
    <row r="29" spans="1:10" ht="15.75" thickBot="1" x14ac:dyDescent="0.3">
      <c r="A29" s="4">
        <v>20</v>
      </c>
      <c r="B29" s="5" t="s">
        <v>50</v>
      </c>
      <c r="C29" s="5" t="s">
        <v>30</v>
      </c>
      <c r="D29" s="6">
        <v>46118</v>
      </c>
      <c r="E29" s="6">
        <v>46118</v>
      </c>
      <c r="F29" s="5"/>
      <c r="H29">
        <f>D29-VLOOKUP(A29,'26035'!A:F,4,0)</f>
        <v>0</v>
      </c>
      <c r="I29">
        <f>E29-VLOOKUP(A29,'26035'!A:F,5,0)</f>
        <v>0</v>
      </c>
      <c r="J29">
        <f>F29-VLOOKUP(A29,'26035'!A:F,6,0)</f>
        <v>0</v>
      </c>
    </row>
    <row r="30" spans="1:10" ht="15.75" thickBot="1" x14ac:dyDescent="0.3">
      <c r="A30" s="4">
        <v>23</v>
      </c>
      <c r="B30" s="5" t="s">
        <v>51</v>
      </c>
      <c r="C30" s="5" t="s">
        <v>1</v>
      </c>
      <c r="D30" s="6">
        <v>46124</v>
      </c>
      <c r="E30" s="6">
        <v>46124</v>
      </c>
      <c r="F30" s="5"/>
      <c r="H30">
        <f>D30-VLOOKUP(A30,'26035'!A:F,4,0)</f>
        <v>0</v>
      </c>
      <c r="I30">
        <f>E30-VLOOKUP(A30,'26035'!A:F,5,0)</f>
        <v>0</v>
      </c>
      <c r="J30">
        <f>F30-VLOOKUP(A30,'26035'!A:F,6,0)</f>
        <v>0</v>
      </c>
    </row>
    <row r="31" spans="1:10" ht="15.75" thickBot="1" x14ac:dyDescent="0.3">
      <c r="A31" s="4">
        <v>27</v>
      </c>
      <c r="B31" s="5" t="s">
        <v>52</v>
      </c>
      <c r="C31" s="5" t="s">
        <v>30</v>
      </c>
      <c r="D31" s="6">
        <v>46137</v>
      </c>
      <c r="E31" s="6">
        <v>46137</v>
      </c>
      <c r="F31" s="5"/>
      <c r="H31">
        <f>D31-VLOOKUP(A31,'26035'!A:F,4,0)</f>
        <v>0</v>
      </c>
      <c r="I31">
        <f>E31-VLOOKUP(A31,'26035'!A:F,5,0)</f>
        <v>0</v>
      </c>
      <c r="J31">
        <f>F31-VLOOKUP(A31,'26035'!A:F,6,0)</f>
        <v>0</v>
      </c>
    </row>
    <row r="32" spans="1:10" ht="15.75" thickBot="1" x14ac:dyDescent="0.3">
      <c r="A32" s="4">
        <v>28</v>
      </c>
      <c r="B32" s="5" t="s">
        <v>53</v>
      </c>
      <c r="C32" s="5" t="s">
        <v>30</v>
      </c>
      <c r="D32" s="6">
        <v>46145</v>
      </c>
      <c r="E32" s="6">
        <v>46145</v>
      </c>
      <c r="F32" s="6">
        <v>46127</v>
      </c>
      <c r="G32" s="15" t="s">
        <v>106</v>
      </c>
      <c r="H32">
        <f>D32-VLOOKUP(A32,'26035'!A:F,4,0)</f>
        <v>0</v>
      </c>
      <c r="I32">
        <f>E32-VLOOKUP(A32,'26035'!A:F,5,0)</f>
        <v>0</v>
      </c>
      <c r="J32">
        <f>F32-VLOOKUP(A32,'26035'!A:F,6,0)</f>
        <v>46127</v>
      </c>
    </row>
    <row r="33" spans="1:10" ht="15.75" thickBot="1" x14ac:dyDescent="0.3">
      <c r="A33" s="7">
        <v>29</v>
      </c>
      <c r="B33" s="8" t="s">
        <v>54</v>
      </c>
      <c r="C33" s="8" t="s">
        <v>30</v>
      </c>
      <c r="D33" s="9">
        <v>46145</v>
      </c>
      <c r="E33" s="9">
        <v>46145</v>
      </c>
      <c r="F33" s="8"/>
      <c r="G33" s="15" t="s">
        <v>106</v>
      </c>
      <c r="H33">
        <f>D33-VLOOKUP(A33,'26035'!A:F,4,0)</f>
        <v>0</v>
      </c>
      <c r="I33">
        <f>E33-VLOOKUP(A33,'26035'!A:F,5,0)</f>
        <v>0</v>
      </c>
      <c r="J33">
        <f>F33-VLOOKUP(A33,'26035'!A:F,6,0)</f>
        <v>0</v>
      </c>
    </row>
    <row r="34" spans="1:10" ht="15.75" thickBot="1" x14ac:dyDescent="0.3">
      <c r="A34" s="4">
        <v>30</v>
      </c>
      <c r="B34" s="5" t="s">
        <v>55</v>
      </c>
      <c r="C34" s="5" t="s">
        <v>30</v>
      </c>
      <c r="D34" s="6">
        <v>46141</v>
      </c>
      <c r="E34" s="6">
        <v>46141</v>
      </c>
      <c r="F34" s="5"/>
      <c r="G34" s="15" t="s">
        <v>106</v>
      </c>
      <c r="H34">
        <f>D34-VLOOKUP(A34,'26035'!A:F,4,0)</f>
        <v>0</v>
      </c>
      <c r="I34">
        <f>E34-VLOOKUP(A34,'26035'!A:F,5,0)</f>
        <v>0</v>
      </c>
      <c r="J34">
        <f>F34-VLOOKUP(A34,'26035'!A:F,6,0)</f>
        <v>0</v>
      </c>
    </row>
    <row r="35" spans="1:10" ht="15.75" thickBot="1" x14ac:dyDescent="0.3">
      <c r="A35" s="4">
        <v>31</v>
      </c>
      <c r="B35" s="5" t="s">
        <v>56</v>
      </c>
      <c r="C35" s="5" t="s">
        <v>30</v>
      </c>
      <c r="D35" s="6">
        <v>46143</v>
      </c>
      <c r="E35" s="6">
        <v>46143</v>
      </c>
      <c r="F35" s="5"/>
      <c r="H35">
        <f>D35-VLOOKUP(A35,'26035'!A:F,4,0)</f>
        <v>0</v>
      </c>
      <c r="I35">
        <f>E35-VLOOKUP(A35,'26035'!A:F,5,0)</f>
        <v>0</v>
      </c>
      <c r="J35">
        <f>F35-VLOOKUP(A35,'26035'!A:F,6,0)</f>
        <v>0</v>
      </c>
    </row>
    <row r="36" spans="1:10" ht="15.75" thickBot="1" x14ac:dyDescent="0.3">
      <c r="A36" s="4" t="s">
        <v>57</v>
      </c>
      <c r="B36" s="5" t="s">
        <v>58</v>
      </c>
      <c r="C36" s="5" t="s">
        <v>30</v>
      </c>
      <c r="D36" s="6">
        <v>46143</v>
      </c>
      <c r="E36" s="6">
        <v>46139</v>
      </c>
      <c r="F36" s="5"/>
      <c r="G36" s="14" t="s">
        <v>105</v>
      </c>
      <c r="H36">
        <f>D36-VLOOKUP(A36,'26035'!A:F,4,0)</f>
        <v>0</v>
      </c>
      <c r="I36">
        <f>E36-VLOOKUP(A36,'26035'!A:F,5,0)</f>
        <v>0</v>
      </c>
      <c r="J36">
        <f>F36-VLOOKUP(A36,'26035'!A:F,6,0)</f>
        <v>0</v>
      </c>
    </row>
    <row r="37" spans="1:10" ht="15.75" thickBot="1" x14ac:dyDescent="0.3">
      <c r="A37" s="4" t="s">
        <v>59</v>
      </c>
      <c r="B37" s="5" t="s">
        <v>60</v>
      </c>
      <c r="C37" s="5" t="s">
        <v>30</v>
      </c>
      <c r="D37" s="6">
        <v>46139</v>
      </c>
      <c r="E37" s="6">
        <v>46139</v>
      </c>
      <c r="F37" s="5"/>
      <c r="H37">
        <f>D37-VLOOKUP(A37,'26035'!A:F,4,0)</f>
        <v>0</v>
      </c>
      <c r="I37">
        <f>E37-VLOOKUP(A37,'26035'!A:F,5,0)</f>
        <v>0</v>
      </c>
      <c r="J37">
        <f>F37-VLOOKUP(A37,'26035'!A:F,6,0)</f>
        <v>0</v>
      </c>
    </row>
    <row r="38" spans="1:10" ht="15.75" thickBot="1" x14ac:dyDescent="0.3">
      <c r="A38" s="4" t="s">
        <v>61</v>
      </c>
      <c r="B38" s="5" t="s">
        <v>62</v>
      </c>
      <c r="C38" s="5" t="s">
        <v>30</v>
      </c>
      <c r="D38" s="6">
        <v>46139</v>
      </c>
      <c r="E38" s="6">
        <v>46139</v>
      </c>
      <c r="F38" s="5"/>
      <c r="H38">
        <f>D38-VLOOKUP(A38,'26035'!A:F,4,0)</f>
        <v>0</v>
      </c>
      <c r="I38">
        <f>E38-VLOOKUP(A38,'26035'!A:F,5,0)</f>
        <v>0</v>
      </c>
      <c r="J38">
        <f>F38-VLOOKUP(A38,'26035'!A:F,6,0)</f>
        <v>0</v>
      </c>
    </row>
    <row r="39" spans="1:10" ht="15.75" thickBot="1" x14ac:dyDescent="0.3">
      <c r="A39" s="4" t="s">
        <v>63</v>
      </c>
      <c r="B39" s="5" t="s">
        <v>64</v>
      </c>
      <c r="C39" s="5" t="s">
        <v>30</v>
      </c>
      <c r="D39" s="6">
        <v>46139</v>
      </c>
      <c r="E39" s="6">
        <v>46139</v>
      </c>
      <c r="F39" s="5"/>
      <c r="H39">
        <f>D39-VLOOKUP(A39,'26035'!A:F,4,0)</f>
        <v>0</v>
      </c>
      <c r="I39">
        <f>E39-VLOOKUP(A39,'26035'!A:F,5,0)</f>
        <v>0</v>
      </c>
      <c r="J39">
        <f>F39-VLOOKUP(A39,'26035'!A:F,6,0)</f>
        <v>0</v>
      </c>
    </row>
    <row r="40" spans="1:10" ht="15.75" thickBot="1" x14ac:dyDescent="0.3">
      <c r="A40" s="4" t="s">
        <v>65</v>
      </c>
      <c r="B40" s="5" t="s">
        <v>66</v>
      </c>
      <c r="C40" s="5" t="s">
        <v>30</v>
      </c>
      <c r="D40" s="6">
        <v>46139</v>
      </c>
      <c r="E40" s="6">
        <v>46139</v>
      </c>
      <c r="F40" s="5"/>
      <c r="H40">
        <f>D40-VLOOKUP(A40,'26035'!A:F,4,0)</f>
        <v>0</v>
      </c>
      <c r="I40">
        <f>E40-VLOOKUP(A40,'26035'!A:F,5,0)</f>
        <v>0</v>
      </c>
      <c r="J40">
        <f>F40-VLOOKUP(A40,'26035'!A:F,6,0)</f>
        <v>0</v>
      </c>
    </row>
    <row r="41" spans="1:10" ht="15.75" thickBot="1" x14ac:dyDescent="0.3">
      <c r="A41" s="4" t="s">
        <v>67</v>
      </c>
      <c r="B41" s="5" t="s">
        <v>68</v>
      </c>
      <c r="C41" s="5" t="s">
        <v>30</v>
      </c>
      <c r="D41" s="6">
        <v>46139</v>
      </c>
      <c r="E41" s="6">
        <v>46139</v>
      </c>
      <c r="F41" s="5"/>
      <c r="H41">
        <f>D41-VLOOKUP(A41,'26035'!A:F,4,0)</f>
        <v>0</v>
      </c>
      <c r="I41">
        <f>E41-VLOOKUP(A41,'26035'!A:F,5,0)</f>
        <v>0</v>
      </c>
      <c r="J41">
        <f>F41-VLOOKUP(A41,'26035'!A:F,6,0)</f>
        <v>0</v>
      </c>
    </row>
    <row r="42" spans="1:10" ht="15.75" thickBot="1" x14ac:dyDescent="0.3">
      <c r="A42" s="4" t="s">
        <v>69</v>
      </c>
      <c r="B42" s="5" t="s">
        <v>70</v>
      </c>
      <c r="C42" s="5" t="s">
        <v>30</v>
      </c>
      <c r="D42" s="6">
        <v>46139</v>
      </c>
      <c r="E42" s="6">
        <v>46139</v>
      </c>
      <c r="F42" s="5"/>
      <c r="H42">
        <f>D42-VLOOKUP(A42,'26035'!A:F,4,0)</f>
        <v>0</v>
      </c>
      <c r="I42">
        <f>E42-VLOOKUP(A42,'26035'!A:F,5,0)</f>
        <v>0</v>
      </c>
      <c r="J42">
        <f>F42-VLOOKUP(A42,'26035'!A:F,6,0)</f>
        <v>0</v>
      </c>
    </row>
    <row r="43" spans="1:10" ht="15.75" thickBot="1" x14ac:dyDescent="0.3">
      <c r="A43" s="4">
        <v>33</v>
      </c>
      <c r="B43" s="5" t="s">
        <v>71</v>
      </c>
      <c r="C43" s="5" t="s">
        <v>14</v>
      </c>
      <c r="D43" s="6">
        <v>46149</v>
      </c>
      <c r="E43" s="6">
        <v>46147</v>
      </c>
      <c r="F43" s="5"/>
      <c r="G43" s="14" t="s">
        <v>105</v>
      </c>
      <c r="H43">
        <f>D43-VLOOKUP(A43,'26035'!A:F,4,0)</f>
        <v>0</v>
      </c>
      <c r="I43">
        <f>E43-VLOOKUP(A43,'26035'!A:F,5,0)</f>
        <v>0</v>
      </c>
      <c r="J43">
        <f>F43-VLOOKUP(A43,'26035'!A:F,6,0)</f>
        <v>0</v>
      </c>
    </row>
    <row r="44" spans="1:10" ht="15.75" thickBot="1" x14ac:dyDescent="0.3">
      <c r="A44" s="7" t="s">
        <v>72</v>
      </c>
      <c r="B44" s="8" t="s">
        <v>73</v>
      </c>
      <c r="C44" s="8" t="s">
        <v>14</v>
      </c>
      <c r="D44" s="9">
        <v>46147</v>
      </c>
      <c r="E44" s="9">
        <v>46147</v>
      </c>
      <c r="F44" s="8"/>
      <c r="H44">
        <f>D44-VLOOKUP(A44,'26035'!A:F,4,0)</f>
        <v>0</v>
      </c>
      <c r="I44">
        <f>E44-VLOOKUP(A44,'26035'!A:F,5,0)</f>
        <v>0</v>
      </c>
      <c r="J44">
        <f>F44-VLOOKUP(A44,'26035'!A:F,6,0)</f>
        <v>0</v>
      </c>
    </row>
    <row r="45" spans="1:10" ht="15.75" thickBot="1" x14ac:dyDescent="0.3">
      <c r="A45" s="4" t="s">
        <v>74</v>
      </c>
      <c r="B45" s="5" t="s">
        <v>75</v>
      </c>
      <c r="C45" s="5" t="s">
        <v>14</v>
      </c>
      <c r="D45" s="6">
        <v>46147</v>
      </c>
      <c r="E45" s="6">
        <v>46147</v>
      </c>
      <c r="F45" s="5"/>
      <c r="H45">
        <f>D45-VLOOKUP(A45,'26035'!A:F,4,0)</f>
        <v>0</v>
      </c>
      <c r="I45">
        <f>E45-VLOOKUP(A45,'26035'!A:F,5,0)</f>
        <v>0</v>
      </c>
      <c r="J45">
        <f>F45-VLOOKUP(A45,'26035'!A:F,6,0)</f>
        <v>0</v>
      </c>
    </row>
    <row r="46" spans="1:10" ht="15.75" thickBot="1" x14ac:dyDescent="0.3">
      <c r="A46" s="4" t="s">
        <v>76</v>
      </c>
      <c r="B46" s="5" t="s">
        <v>77</v>
      </c>
      <c r="C46" s="5" t="s">
        <v>14</v>
      </c>
      <c r="D46" s="6">
        <v>46147</v>
      </c>
      <c r="E46" s="6">
        <v>46147</v>
      </c>
      <c r="F46" s="5"/>
      <c r="H46">
        <f>D46-VLOOKUP(A46,'26035'!A:F,4,0)</f>
        <v>0</v>
      </c>
      <c r="I46">
        <f>E46-VLOOKUP(A46,'26035'!A:F,5,0)</f>
        <v>0</v>
      </c>
      <c r="J46">
        <f>F46-VLOOKUP(A46,'26035'!A:F,6,0)</f>
        <v>0</v>
      </c>
    </row>
    <row r="47" spans="1:10" ht="15.75" thickBot="1" x14ac:dyDescent="0.3">
      <c r="A47" s="4" t="s">
        <v>78</v>
      </c>
      <c r="B47" s="5" t="s">
        <v>79</v>
      </c>
      <c r="C47" s="5" t="s">
        <v>14</v>
      </c>
      <c r="D47" s="6">
        <v>46147</v>
      </c>
      <c r="E47" s="6">
        <v>46147</v>
      </c>
      <c r="F47" s="5"/>
      <c r="H47">
        <f>D47-VLOOKUP(A47,'26035'!A:F,4,0)</f>
        <v>0</v>
      </c>
      <c r="I47">
        <f>E47-VLOOKUP(A47,'26035'!A:F,5,0)</f>
        <v>0</v>
      </c>
      <c r="J47">
        <f>F47-VLOOKUP(A47,'26035'!A:F,6,0)</f>
        <v>0</v>
      </c>
    </row>
    <row r="48" spans="1:10" ht="15.75" thickBot="1" x14ac:dyDescent="0.3">
      <c r="A48" s="4" t="s">
        <v>80</v>
      </c>
      <c r="B48" s="5" t="s">
        <v>81</v>
      </c>
      <c r="C48" s="5" t="s">
        <v>14</v>
      </c>
      <c r="D48" s="6">
        <v>46147</v>
      </c>
      <c r="E48" s="6">
        <v>46147</v>
      </c>
      <c r="F48" s="5"/>
      <c r="H48">
        <f>D48-VLOOKUP(A48,'26035'!A:F,4,0)</f>
        <v>0</v>
      </c>
      <c r="I48">
        <f>E48-VLOOKUP(A48,'26035'!A:F,5,0)</f>
        <v>0</v>
      </c>
      <c r="J48">
        <f>F48-VLOOKUP(A48,'26035'!A:F,6,0)</f>
        <v>0</v>
      </c>
    </row>
    <row r="49" spans="1:10" ht="15.75" thickBot="1" x14ac:dyDescent="0.3">
      <c r="A49" s="4" t="s">
        <v>82</v>
      </c>
      <c r="B49" s="5" t="s">
        <v>83</v>
      </c>
      <c r="C49" s="5" t="s">
        <v>14</v>
      </c>
      <c r="D49" s="6">
        <v>46147</v>
      </c>
      <c r="E49" s="6">
        <v>46147</v>
      </c>
      <c r="F49" s="5"/>
      <c r="H49">
        <f>D49-VLOOKUP(A49,'26035'!A:F,4,0)</f>
        <v>0</v>
      </c>
      <c r="I49">
        <f>E49-VLOOKUP(A49,'26035'!A:F,5,0)</f>
        <v>0</v>
      </c>
      <c r="J49">
        <f>F49-VLOOKUP(A49,'26035'!A:F,6,0)</f>
        <v>0</v>
      </c>
    </row>
    <row r="50" spans="1:10" ht="15.75" thickBot="1" x14ac:dyDescent="0.3">
      <c r="A50" s="4" t="s">
        <v>84</v>
      </c>
      <c r="B50" s="5" t="s">
        <v>85</v>
      </c>
      <c r="C50" s="5" t="s">
        <v>14</v>
      </c>
      <c r="D50" s="6">
        <v>46147</v>
      </c>
      <c r="E50" s="6">
        <v>46147</v>
      </c>
      <c r="F50" s="5"/>
      <c r="H50">
        <f>D50-VLOOKUP(A50,'26035'!A:F,4,0)</f>
        <v>0</v>
      </c>
      <c r="I50">
        <f>E50-VLOOKUP(A50,'26035'!A:F,5,0)</f>
        <v>0</v>
      </c>
      <c r="J50">
        <f>F50-VLOOKUP(A50,'26035'!A:F,6,0)</f>
        <v>0</v>
      </c>
    </row>
    <row r="51" spans="1:10" ht="15.75" thickBot="1" x14ac:dyDescent="0.3">
      <c r="A51" s="4">
        <v>34</v>
      </c>
      <c r="B51" s="5" t="s">
        <v>86</v>
      </c>
      <c r="C51" s="5" t="s">
        <v>1</v>
      </c>
      <c r="D51" s="6">
        <v>46156</v>
      </c>
      <c r="E51" s="6">
        <v>46156</v>
      </c>
      <c r="F51" s="5"/>
      <c r="H51">
        <f>D51-VLOOKUP(A51,'26035'!A:F,4,0)</f>
        <v>0</v>
      </c>
      <c r="I51">
        <f>E51-VLOOKUP(A51,'26035'!A:F,5,0)</f>
        <v>0</v>
      </c>
      <c r="J51">
        <f>F51-VLOOKUP(A51,'26035'!A:F,6,0)</f>
        <v>0</v>
      </c>
    </row>
    <row r="52" spans="1:10" ht="15.75" thickBot="1" x14ac:dyDescent="0.3">
      <c r="A52" s="4">
        <v>35</v>
      </c>
      <c r="B52" s="5" t="s">
        <v>87</v>
      </c>
      <c r="C52" s="5" t="s">
        <v>88</v>
      </c>
      <c r="D52" s="6">
        <v>46156</v>
      </c>
      <c r="E52" s="6">
        <v>46172</v>
      </c>
      <c r="F52" s="6">
        <v>46128</v>
      </c>
      <c r="H52">
        <f>D52-VLOOKUP(A52,'26035'!A:F,4,0)</f>
        <v>0</v>
      </c>
      <c r="I52">
        <f>E52-VLOOKUP(A52,'26035'!A:F,5,0)</f>
        <v>0</v>
      </c>
      <c r="J52">
        <f>F52-VLOOKUP(A52,'26035'!A:F,6,0)</f>
        <v>0</v>
      </c>
    </row>
    <row r="53" spans="1:10" ht="15.75" thickBot="1" x14ac:dyDescent="0.3">
      <c r="A53" s="4">
        <v>36</v>
      </c>
      <c r="B53" s="5" t="s">
        <v>89</v>
      </c>
      <c r="C53" s="5" t="s">
        <v>30</v>
      </c>
      <c r="D53" s="6">
        <v>46154</v>
      </c>
      <c r="E53" s="6">
        <v>46154</v>
      </c>
      <c r="F53" s="5"/>
      <c r="H53">
        <f>D53-VLOOKUP(A53,'26035'!A:F,4,0)</f>
        <v>0</v>
      </c>
      <c r="I53">
        <f>E53-VLOOKUP(A53,'26035'!A:F,5,0)</f>
        <v>0</v>
      </c>
      <c r="J53">
        <f>F53-VLOOKUP(A53,'26035'!A:F,6,0)</f>
        <v>0</v>
      </c>
    </row>
    <row r="54" spans="1:10" ht="15.75" thickBot="1" x14ac:dyDescent="0.3">
      <c r="A54" s="4">
        <v>37</v>
      </c>
      <c r="B54" s="5" t="s">
        <v>90</v>
      </c>
      <c r="C54" s="5" t="s">
        <v>30</v>
      </c>
      <c r="D54" s="6">
        <v>46156</v>
      </c>
      <c r="E54" s="6">
        <v>46156</v>
      </c>
      <c r="F54" s="5"/>
      <c r="G54" s="14" t="s">
        <v>105</v>
      </c>
      <c r="H54">
        <f>D54-VLOOKUP(A54,'26035'!A:F,4,0)</f>
        <v>0</v>
      </c>
      <c r="I54">
        <f>E54-VLOOKUP(A54,'26035'!A:F,5,0)</f>
        <v>0</v>
      </c>
      <c r="J54">
        <f>F54-VLOOKUP(A54,'26035'!A:F,6,0)</f>
        <v>0</v>
      </c>
    </row>
    <row r="55" spans="1:10" ht="15.75" thickBot="1" x14ac:dyDescent="0.3">
      <c r="A55" s="4" t="s">
        <v>91</v>
      </c>
      <c r="B55" s="5" t="s">
        <v>92</v>
      </c>
      <c r="C55" s="5" t="s">
        <v>3</v>
      </c>
      <c r="D55" s="6">
        <v>46165</v>
      </c>
      <c r="E55" s="6">
        <v>46165</v>
      </c>
      <c r="F55" s="5"/>
      <c r="G55" s="14" t="s">
        <v>105</v>
      </c>
      <c r="H55">
        <f>D55-VLOOKUP(A55,'26035'!A:F,4,0)</f>
        <v>0</v>
      </c>
      <c r="I55">
        <f>E55-VLOOKUP(A55,'26035'!A:F,5,0)</f>
        <v>0</v>
      </c>
      <c r="J55">
        <f>F55-VLOOKUP(A55,'26035'!A:F,6,0)</f>
        <v>0</v>
      </c>
    </row>
    <row r="56" spans="1:10" ht="15.75" thickBot="1" x14ac:dyDescent="0.3">
      <c r="A56" s="4">
        <v>39</v>
      </c>
      <c r="B56" s="5" t="s">
        <v>93</v>
      </c>
      <c r="C56" s="5" t="s">
        <v>3</v>
      </c>
      <c r="D56" s="6">
        <v>46167</v>
      </c>
      <c r="E56" s="6">
        <v>46167</v>
      </c>
      <c r="F56" s="5"/>
      <c r="G56" s="16" t="s">
        <v>104</v>
      </c>
      <c r="H56">
        <f>D56-VLOOKUP(A56,'26035'!A:F,4,0)</f>
        <v>0</v>
      </c>
      <c r="I56">
        <f>E56-VLOOKUP(A56,'26035'!A:F,5,0)</f>
        <v>0</v>
      </c>
      <c r="J56">
        <f>F56-VLOOKUP(A56,'26035'!A:F,6,0)</f>
        <v>0</v>
      </c>
    </row>
    <row r="57" spans="1:10" ht="15.75" thickBot="1" x14ac:dyDescent="0.3">
      <c r="A57" s="4" t="s">
        <v>94</v>
      </c>
      <c r="B57" s="5" t="s">
        <v>95</v>
      </c>
      <c r="C57" s="5" t="s">
        <v>3</v>
      </c>
      <c r="D57" s="6">
        <v>46171</v>
      </c>
      <c r="E57" s="6">
        <v>46171</v>
      </c>
      <c r="F57" s="5"/>
      <c r="H57">
        <f>D57-VLOOKUP(A57,'26035'!A:F,4,0)</f>
        <v>0</v>
      </c>
      <c r="I57">
        <f>E57-VLOOKUP(A57,'26035'!A:F,5,0)</f>
        <v>0</v>
      </c>
      <c r="J57">
        <f>F57-VLOOKUP(A57,'26035'!A:F,6,0)</f>
        <v>0</v>
      </c>
    </row>
    <row r="58" spans="1:10" ht="15.75" thickBot="1" x14ac:dyDescent="0.3">
      <c r="A58" s="10" t="s">
        <v>96</v>
      </c>
      <c r="B58" s="11" t="s">
        <v>97</v>
      </c>
      <c r="C58" s="11" t="s">
        <v>5</v>
      </c>
      <c r="D58" s="12">
        <v>46096</v>
      </c>
      <c r="E58" s="12">
        <v>46096</v>
      </c>
      <c r="F58" s="11"/>
      <c r="H58">
        <f>D58-VLOOKUP(A58,'26035'!A:F,4,0)</f>
        <v>0</v>
      </c>
      <c r="I58">
        <f>E58-VLOOKUP(A58,'26035'!A:F,5,0)</f>
        <v>0</v>
      </c>
      <c r="J58">
        <f>F58-VLOOKUP(A58,'26035'!A:F,6,0)</f>
        <v>0</v>
      </c>
    </row>
  </sheetData>
  <autoFilter ref="A1:J58" xr:uid="{F242D9E7-D647-4506-B36E-32D4E1FC89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26035</vt:lpstr>
      <vt:lpstr>26035 (MST+26)</vt:lpstr>
      <vt:lpstr>26035 (MST-26)</vt:lpstr>
      <vt:lpstr>26035 (MST-5)</vt:lpstr>
      <vt:lpstr>26035 (MST+5)</vt:lpstr>
      <vt:lpstr>26035 (MST hit BLT)</vt:lpstr>
      <vt:lpstr>26035 (MST back to original)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yk chan</dc:creator>
  <cp:lastModifiedBy>chris yk chan</cp:lastModifiedBy>
  <dcterms:created xsi:type="dcterms:W3CDTF">2026-04-15T00:54:04Z</dcterms:created>
  <dcterms:modified xsi:type="dcterms:W3CDTF">2026-04-17T05:33:02Z</dcterms:modified>
</cp:coreProperties>
</file>